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uad\Documents\Solar simulator research\"/>
    </mc:Choice>
  </mc:AlternateContent>
  <xr:revisionPtr revIDLastSave="0" documentId="13_ncr:1_{E9279672-587E-406B-8B5C-ECEF346D401C}" xr6:coauthVersionLast="47" xr6:coauthVersionMax="47" xr10:uidLastSave="{00000000-0000-0000-0000-000000000000}"/>
  <bookViews>
    <workbookView xWindow="-108" yWindow="-108" windowWidth="23256" windowHeight="12576" xr2:uid="{596C6EC4-E899-42C2-B761-C05F4D840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K11" i="1"/>
  <c r="J10" i="1"/>
  <c r="K10" i="1" s="1"/>
  <c r="J9" i="1"/>
  <c r="L9" i="1" s="1"/>
  <c r="L16" i="1"/>
  <c r="K16" i="1"/>
  <c r="K9" i="1"/>
  <c r="J18" i="1"/>
  <c r="L18" i="1" s="1"/>
  <c r="J16" i="1"/>
  <c r="L19" i="1"/>
  <c r="K19" i="1"/>
  <c r="K18" i="1"/>
  <c r="L17" i="1"/>
  <c r="K17" i="1"/>
  <c r="L15" i="1"/>
  <c r="K15" i="1"/>
  <c r="K14" i="1"/>
  <c r="L13" i="1"/>
  <c r="K13" i="1"/>
  <c r="L12" i="1"/>
  <c r="K12" i="1"/>
  <c r="L11" i="1"/>
  <c r="L10" i="1" l="1"/>
  <c r="J19" i="1"/>
  <c r="J11" i="1"/>
  <c r="J12" i="1"/>
  <c r="J13" i="1"/>
  <c r="J14" i="1"/>
  <c r="J15" i="1"/>
  <c r="J17" i="1"/>
</calcChain>
</file>

<file path=xl/sharedStrings.xml><?xml version="1.0" encoding="utf-8"?>
<sst xmlns="http://schemas.openxmlformats.org/spreadsheetml/2006/main" count="10" uniqueCount="10">
  <si>
    <t>Positive error</t>
  </si>
  <si>
    <t>Negative error</t>
  </si>
  <si>
    <t>Expected (LPM)</t>
  </si>
  <si>
    <t>1st</t>
  </si>
  <si>
    <t>2nd</t>
  </si>
  <si>
    <t>3rd</t>
  </si>
  <si>
    <t>Average</t>
  </si>
  <si>
    <t>Actual Flows (LPM)</t>
  </si>
  <si>
    <t>Error bars</t>
  </si>
  <si>
    <t>No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</si>
</sst>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vs Actual flow for SiC monolith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Sheet1!$K$9:$K$19</c:f>
                <c:numCache>
                  <c:formatCode>General</c:formatCode>
                  <c:ptCount val="11"/>
                  <c:pt idx="0">
                    <c:v>3.6000000000000476E-3</c:v>
                  </c:pt>
                  <c:pt idx="1">
                    <c:v>5.3933333333333278E-2</c:v>
                  </c:pt>
                  <c:pt idx="2">
                    <c:v>3.5866666666666713E-2</c:v>
                  </c:pt>
                  <c:pt idx="3">
                    <c:v>2.0999999999999908E-2</c:v>
                  </c:pt>
                  <c:pt idx="4">
                    <c:v>5.699999999999994E-2</c:v>
                  </c:pt>
                  <c:pt idx="5">
                    <c:v>4.3333333333333002E-3</c:v>
                  </c:pt>
                  <c:pt idx="6">
                    <c:v>9.000000000000119E-3</c:v>
                  </c:pt>
                  <c:pt idx="7">
                    <c:v>2.866666666666684E-2</c:v>
                  </c:pt>
                  <c:pt idx="8">
                    <c:v>2.0333333333333536E-2</c:v>
                  </c:pt>
                  <c:pt idx="9">
                    <c:v>3.833333333333333E-2</c:v>
                  </c:pt>
                  <c:pt idx="10">
                    <c:v>1.066666666666638E-2</c:v>
                  </c:pt>
                </c:numCache>
              </c:numRef>
            </c:plus>
            <c:minus>
              <c:numRef>
                <c:f>Sheet1!$L$9:$L$19</c:f>
                <c:numCache>
                  <c:formatCode>General</c:formatCode>
                  <c:ptCount val="11"/>
                  <c:pt idx="0">
                    <c:v>6.5999999999999392E-3</c:v>
                  </c:pt>
                  <c:pt idx="1">
                    <c:v>9.4466666666666699E-2</c:v>
                  </c:pt>
                  <c:pt idx="2">
                    <c:v>6.9733333333333203E-2</c:v>
                  </c:pt>
                  <c:pt idx="3">
                    <c:v>4.1000000000000147E-2</c:v>
                  </c:pt>
                  <c:pt idx="4">
                    <c:v>7.2000000000000064E-2</c:v>
                  </c:pt>
                  <c:pt idx="5">
                    <c:v>2.6666666666668171E-3</c:v>
                  </c:pt>
                  <c:pt idx="6">
                    <c:v>5.9999999999997833E-3</c:v>
                  </c:pt>
                  <c:pt idx="7">
                    <c:v>4.8333333333333339E-2</c:v>
                  </c:pt>
                  <c:pt idx="8">
                    <c:v>1.5666666666666496E-2</c:v>
                  </c:pt>
                  <c:pt idx="9">
                    <c:v>4.0666666666666629E-2</c:v>
                  </c:pt>
                  <c:pt idx="10">
                    <c:v>1.0333333333333528E-2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0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Sheet1!$J$9:$J$19</c:f>
              <c:numCache>
                <c:formatCode>0.000</c:formatCode>
                <c:ptCount val="11"/>
                <c:pt idx="0">
                  <c:v>0.82599999999999996</c:v>
                </c:pt>
                <c:pt idx="1">
                  <c:v>0.89576666666666671</c:v>
                </c:pt>
                <c:pt idx="2">
                  <c:v>1.0431333333333332</c:v>
                </c:pt>
                <c:pt idx="3">
                  <c:v>1.0810000000000002</c:v>
                </c:pt>
                <c:pt idx="4">
                  <c:v>1.095</c:v>
                </c:pt>
                <c:pt idx="5">
                  <c:v>1.2326666666666668</c:v>
                </c:pt>
                <c:pt idx="6">
                  <c:v>1.2169999999999999</c:v>
                </c:pt>
                <c:pt idx="7">
                  <c:v>1.3293333333333333</c:v>
                </c:pt>
                <c:pt idx="8">
                  <c:v>1.4706666666666666</c:v>
                </c:pt>
                <c:pt idx="9">
                  <c:v>1.7216666666666667</c:v>
                </c:pt>
                <c:pt idx="10">
                  <c:v>1.9473333333333336</c:v>
                </c:pt>
              </c:numCache>
            </c:numRef>
          </c:xVal>
          <c:yVal>
            <c:numRef>
              <c:f>Sheet1!$F$9:$F$19</c:f>
              <c:numCache>
                <c:formatCode>General</c:formatCode>
                <c:ptCount val="11"/>
                <c:pt idx="0">
                  <c:v>5.92</c:v>
                </c:pt>
                <c:pt idx="1">
                  <c:v>6.96</c:v>
                </c:pt>
                <c:pt idx="2">
                  <c:v>7.95</c:v>
                </c:pt>
                <c:pt idx="3">
                  <c:v>8.94</c:v>
                </c:pt>
                <c:pt idx="4">
                  <c:v>9.9499999999999993</c:v>
                </c:pt>
                <c:pt idx="5">
                  <c:v>10.95</c:v>
                </c:pt>
                <c:pt idx="6">
                  <c:v>11.95</c:v>
                </c:pt>
                <c:pt idx="7">
                  <c:v>13.9</c:v>
                </c:pt>
                <c:pt idx="8">
                  <c:v>15.84</c:v>
                </c:pt>
                <c:pt idx="9">
                  <c:v>17.84</c:v>
                </c:pt>
                <c:pt idx="10">
                  <c:v>19.32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F-4DD9-B0D1-F9465CB0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053695"/>
        <c:axId val="915050335"/>
      </c:scatterChart>
      <c:valAx>
        <c:axId val="915053695"/>
        <c:scaling>
          <c:orientation val="minMax"/>
          <c:max val="2"/>
          <c:min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(LPM)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15050335"/>
        <c:crosses val="autoZero"/>
        <c:crossBetween val="midCat"/>
      </c:valAx>
      <c:valAx>
        <c:axId val="915050335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(LPM)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1505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173990</xdr:colOff>
      <xdr:row>1</xdr:row>
      <xdr:rowOff>15240</xdr:rowOff>
    </xdr:from>
    <xdr:to>
      <xdr:col>21</xdr:col>
      <xdr:colOff>101600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1DC548-AA23-89CE-03CC-3C7B09193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7DB6-E03A-41E7-91B7-71A978652A3F}">
  <dimension ref="F2:L19"/>
  <sheetViews>
    <sheetView tabSelected="1" topLeftCell="B1" zoomScaleNormal="100" workbookViewId="0">
      <selection activeCell="R25" sqref="R25"/>
    </sheetView>
  </sheetViews>
  <sheetFormatPr defaultRowHeight="14.4" x14ac:dyDescent="0.3"/>
  <cols>
    <col min="6" max="6" width="14" bestFit="1" customWidth="1"/>
    <col min="11" max="11" width="11.6640625" bestFit="1" customWidth="1"/>
    <col min="12" max="12" width="12.44140625" bestFit="1" customWidth="1"/>
  </cols>
  <sheetData>
    <row r="2" spans="6:12" x14ac:dyDescent="0.3">
      <c r="G2" s="17" t="s">
        <v>7</v>
      </c>
      <c r="H2" s="17"/>
      <c r="I2" s="17"/>
      <c r="J2" s="17"/>
      <c r="K2" s="18" t="s">
        <v>8</v>
      </c>
      <c r="L2" s="18"/>
    </row>
    <row r="3" spans="6:12" x14ac:dyDescent="0.3">
      <c r="F3" s="1" t="s">
        <v>2</v>
      </c>
      <c r="G3" s="2" t="s">
        <v>3</v>
      </c>
      <c r="H3" s="2" t="s">
        <v>4</v>
      </c>
      <c r="I3" s="2" t="s">
        <v>5</v>
      </c>
      <c r="J3" s="1" t="s">
        <v>6</v>
      </c>
      <c r="K3" s="3" t="s">
        <v>0</v>
      </c>
      <c r="L3" s="2" t="s">
        <v>1</v>
      </c>
    </row>
    <row r="4" spans="6:12" x14ac:dyDescent="0.3">
      <c r="F4" s="1">
        <v>1</v>
      </c>
      <c r="G4" s="8" t="s">
        <v>9</v>
      </c>
      <c r="H4" s="9"/>
      <c r="I4" s="10"/>
      <c r="J4" s="7">
        <v>0</v>
      </c>
      <c r="K4" s="7">
        <v>0</v>
      </c>
      <c r="L4" s="7">
        <v>0</v>
      </c>
    </row>
    <row r="5" spans="6:12" x14ac:dyDescent="0.3">
      <c r="F5" s="1">
        <v>2</v>
      </c>
      <c r="G5" s="11"/>
      <c r="H5" s="12"/>
      <c r="I5" s="13"/>
      <c r="J5" s="7">
        <v>0</v>
      </c>
      <c r="K5" s="7">
        <v>0</v>
      </c>
      <c r="L5" s="7">
        <v>0</v>
      </c>
    </row>
    <row r="6" spans="6:12" x14ac:dyDescent="0.3">
      <c r="F6" s="1">
        <v>2.97</v>
      </c>
      <c r="G6" s="11"/>
      <c r="H6" s="12"/>
      <c r="I6" s="13"/>
      <c r="J6" s="7">
        <v>0</v>
      </c>
      <c r="K6" s="7">
        <v>0</v>
      </c>
      <c r="L6" s="7">
        <v>0</v>
      </c>
    </row>
    <row r="7" spans="6:12" x14ac:dyDescent="0.3">
      <c r="F7" s="1">
        <v>3.96</v>
      </c>
      <c r="G7" s="11"/>
      <c r="H7" s="12"/>
      <c r="I7" s="13"/>
      <c r="J7" s="7">
        <v>0</v>
      </c>
      <c r="K7" s="7">
        <v>0</v>
      </c>
      <c r="L7" s="7">
        <v>0</v>
      </c>
    </row>
    <row r="8" spans="6:12" x14ac:dyDescent="0.3">
      <c r="F8" s="1">
        <v>4.95</v>
      </c>
      <c r="G8" s="14"/>
      <c r="H8" s="15"/>
      <c r="I8" s="16"/>
      <c r="J8" s="7">
        <v>0</v>
      </c>
      <c r="K8" s="7">
        <v>0</v>
      </c>
      <c r="L8" s="7">
        <v>0</v>
      </c>
    </row>
    <row r="9" spans="6:12" x14ac:dyDescent="0.3">
      <c r="F9" s="1">
        <v>5.92</v>
      </c>
      <c r="G9" s="2">
        <v>0.81940000000000002</v>
      </c>
      <c r="H9" s="2">
        <v>0.8296</v>
      </c>
      <c r="I9" s="2">
        <v>0.82899999999999996</v>
      </c>
      <c r="J9" s="4">
        <f>AVERAGE(G9:I9)</f>
        <v>0.82599999999999996</v>
      </c>
      <c r="K9" s="5">
        <f>H9-J9</f>
        <v>3.6000000000000476E-3</v>
      </c>
      <c r="L9" s="5">
        <f>J9-G9</f>
        <v>6.5999999999999392E-3</v>
      </c>
    </row>
    <row r="10" spans="6:12" x14ac:dyDescent="0.3">
      <c r="F10" s="1">
        <v>6.96</v>
      </c>
      <c r="G10" s="2">
        <v>0.80130000000000001</v>
      </c>
      <c r="H10" s="2">
        <v>0.93630000000000002</v>
      </c>
      <c r="I10" s="2">
        <v>0.94969999999999999</v>
      </c>
      <c r="J10" s="4">
        <f>AVERAGE(G10:I10)</f>
        <v>0.89576666666666671</v>
      </c>
      <c r="K10" s="5">
        <f>I10-J10</f>
        <v>5.3933333333333278E-2</v>
      </c>
      <c r="L10" s="5">
        <f>J10-G10</f>
        <v>9.4466666666666699E-2</v>
      </c>
    </row>
    <row r="11" spans="6:12" x14ac:dyDescent="0.3">
      <c r="F11" s="1">
        <v>7.95</v>
      </c>
      <c r="G11" s="2">
        <v>1.079</v>
      </c>
      <c r="H11" s="2">
        <v>1.077</v>
      </c>
      <c r="I11" s="2">
        <v>0.97340000000000004</v>
      </c>
      <c r="J11" s="4">
        <f t="shared" ref="J10:J17" si="0">AVERAGE(G11:I11)</f>
        <v>1.0431333333333332</v>
      </c>
      <c r="K11" s="5">
        <f>G11-J11</f>
        <v>3.5866666666666713E-2</v>
      </c>
      <c r="L11" s="5">
        <f>J11-I11</f>
        <v>6.9733333333333203E-2</v>
      </c>
    </row>
    <row r="12" spans="6:12" x14ac:dyDescent="0.3">
      <c r="F12" s="1">
        <v>8.94</v>
      </c>
      <c r="G12" s="6">
        <v>1.04</v>
      </c>
      <c r="H12" s="2">
        <v>1.101</v>
      </c>
      <c r="I12" s="2">
        <v>1.1020000000000001</v>
      </c>
      <c r="J12" s="4">
        <f t="shared" si="0"/>
        <v>1.0810000000000002</v>
      </c>
      <c r="K12" s="5">
        <f>I12-J12</f>
        <v>2.0999999999999908E-2</v>
      </c>
      <c r="L12" s="5">
        <f>J12-G12</f>
        <v>4.1000000000000147E-2</v>
      </c>
    </row>
    <row r="13" spans="6:12" x14ac:dyDescent="0.3">
      <c r="F13" s="1">
        <v>9.9499999999999993</v>
      </c>
      <c r="G13" s="6">
        <v>1.0229999999999999</v>
      </c>
      <c r="H13" s="6">
        <v>1.1519999999999999</v>
      </c>
      <c r="I13" s="6">
        <v>1.1100000000000001</v>
      </c>
      <c r="J13" s="4">
        <f t="shared" si="0"/>
        <v>1.095</v>
      </c>
      <c r="K13" s="5">
        <f>H13-J13</f>
        <v>5.699999999999994E-2</v>
      </c>
      <c r="L13" s="5">
        <f>J13-G13</f>
        <v>7.2000000000000064E-2</v>
      </c>
    </row>
    <row r="14" spans="6:12" x14ac:dyDescent="0.3">
      <c r="F14" s="1">
        <v>10.95</v>
      </c>
      <c r="G14" s="2">
        <v>1.2370000000000001</v>
      </c>
      <c r="H14" s="2">
        <v>1.23</v>
      </c>
      <c r="I14" s="2">
        <v>1.2310000000000001</v>
      </c>
      <c r="J14" s="4">
        <f t="shared" si="0"/>
        <v>1.2326666666666668</v>
      </c>
      <c r="K14" s="5">
        <f>G14-J14</f>
        <v>4.3333333333333002E-3</v>
      </c>
      <c r="L14" s="5">
        <f>J14-H14</f>
        <v>2.6666666666668171E-3</v>
      </c>
    </row>
    <row r="15" spans="6:12" x14ac:dyDescent="0.3">
      <c r="F15" s="1">
        <v>11.95</v>
      </c>
      <c r="G15" s="2">
        <v>1.2110000000000001</v>
      </c>
      <c r="H15" s="2">
        <v>1.214</v>
      </c>
      <c r="I15" s="2">
        <v>1.226</v>
      </c>
      <c r="J15" s="4">
        <f t="shared" si="0"/>
        <v>1.2169999999999999</v>
      </c>
      <c r="K15" s="5">
        <f>I15-J15</f>
        <v>9.000000000000119E-3</v>
      </c>
      <c r="L15" s="5">
        <f>J15-G15</f>
        <v>5.9999999999997833E-3</v>
      </c>
    </row>
    <row r="16" spans="6:12" x14ac:dyDescent="0.3">
      <c r="F16" s="1">
        <v>13.9</v>
      </c>
      <c r="G16" s="2">
        <v>1.349</v>
      </c>
      <c r="H16" s="2">
        <v>1.3580000000000001</v>
      </c>
      <c r="I16" s="2">
        <v>1.2809999999999999</v>
      </c>
      <c r="J16" s="4">
        <f>AVERAGE(G16:I16)</f>
        <v>1.3293333333333333</v>
      </c>
      <c r="K16" s="5">
        <f>H16-J16</f>
        <v>2.866666666666684E-2</v>
      </c>
      <c r="L16" s="5">
        <f>J16-I16</f>
        <v>4.8333333333333339E-2</v>
      </c>
    </row>
    <row r="17" spans="6:12" x14ac:dyDescent="0.3">
      <c r="F17" s="1">
        <v>15.84</v>
      </c>
      <c r="G17" s="2">
        <v>1.4910000000000001</v>
      </c>
      <c r="H17" s="2">
        <v>1.4550000000000001</v>
      </c>
      <c r="I17" s="2">
        <v>1.466</v>
      </c>
      <c r="J17" s="4">
        <f t="shared" si="0"/>
        <v>1.4706666666666666</v>
      </c>
      <c r="K17" s="5">
        <f>G17-J17</f>
        <v>2.0333333333333536E-2</v>
      </c>
      <c r="L17" s="5">
        <f>J17-H17</f>
        <v>1.5666666666666496E-2</v>
      </c>
    </row>
    <row r="18" spans="6:12" x14ac:dyDescent="0.3">
      <c r="F18" s="1">
        <v>17.84</v>
      </c>
      <c r="G18" s="2">
        <v>1.681</v>
      </c>
      <c r="H18" s="2">
        <v>1.724</v>
      </c>
      <c r="I18" s="6">
        <v>1.76</v>
      </c>
      <c r="J18" s="4">
        <f>AVERAGE(G18:I18)</f>
        <v>1.7216666666666667</v>
      </c>
      <c r="K18" s="5">
        <f>I18-J18</f>
        <v>3.833333333333333E-2</v>
      </c>
      <c r="L18" s="5">
        <f>J18-G18</f>
        <v>4.0666666666666629E-2</v>
      </c>
    </row>
    <row r="19" spans="6:12" x14ac:dyDescent="0.3">
      <c r="F19" s="1">
        <v>19.32</v>
      </c>
      <c r="G19" s="2">
        <v>1.9470000000000001</v>
      </c>
      <c r="H19" s="2">
        <v>1.958</v>
      </c>
      <c r="I19" s="2">
        <v>1.9370000000000001</v>
      </c>
      <c r="J19" s="4">
        <f t="shared" ref="J18:J19" si="1">AVERAGE(G19:I19)</f>
        <v>1.9473333333333336</v>
      </c>
      <c r="K19" s="5">
        <f>H19-J19</f>
        <v>1.066666666666638E-2</v>
      </c>
      <c r="L19" s="5">
        <f>J19-I19</f>
        <v>1.0333333333333528E-2</v>
      </c>
    </row>
  </sheetData>
  <mergeCells count="3">
    <mergeCell ref="G2:J2"/>
    <mergeCell ref="K2:L2"/>
    <mergeCell ref="G4:I8"/>
  </mergeCells>
  <pageMargins left="0.7" right="0.7" top="0.75" bottom="0.75" header="0.3" footer="0.3"/>
  <ignoredErrors>
    <ignoredError sqref="J9:J10 J11:J19" formulaRange="1"/>
    <ignoredError sqref="K11:L11 L1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FAROOQ, MOHAMMAD</dc:creator>
  <cp:lastModifiedBy>FAROOQ, MOHAMMAD</cp:lastModifiedBy>
  <dcterms:created xsi:type="dcterms:W3CDTF">2025-02-26T14:33:02Z</dcterms:created>
  <dcterms:modified xsi:type="dcterms:W3CDTF">2025-02-27T11:16:59Z</dcterms:modified>
</cp:coreProperties>
</file>