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E:\github\tamuq-chen-secarelab-receiver\aysha\"/>
    </mc:Choice>
  </mc:AlternateContent>
  <xr:revisionPtr revIDLastSave="0" documentId="13_ncr:1_{0CAC93BC-6347-428B-852B-A4C29D95F341}" xr6:coauthVersionLast="47" xr6:coauthVersionMax="47" xr10:uidLastSave="{00000000-0000-0000-0000-000000000000}"/>
  <bookViews>
    <workbookView xWindow="-108" yWindow="-108" windowWidth="30936" windowHeight="18696" activeTab="1" xr2:uid="{00000000-000D-0000-FFFF-FFFF00000000}"/>
  </bookViews>
  <sheets>
    <sheet name="0D" sheetId="1" r:id="rId1"/>
    <sheet name="3D" sheetId="2" r:id="rId2"/>
    <sheet name="Optical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6" i="3" l="1" a="1"/>
  <c r="D36" i="3" s="1"/>
  <c r="B45" i="3"/>
  <c r="E25" i="3" l="1"/>
  <c r="E26" i="3"/>
  <c r="E27" i="3"/>
  <c r="E28" i="3"/>
  <c r="E29" i="3"/>
  <c r="E30" i="3"/>
  <c r="E31" i="3"/>
  <c r="E32" i="3"/>
  <c r="E24" i="3"/>
  <c r="D25" i="3"/>
  <c r="D26" i="3"/>
  <c r="D27" i="3"/>
  <c r="D28" i="3"/>
  <c r="D29" i="3"/>
  <c r="D30" i="3"/>
  <c r="D31" i="3"/>
  <c r="D32" i="3"/>
  <c r="D24" i="3"/>
  <c r="C2" i="3"/>
  <c r="D2" i="3" s="1"/>
  <c r="F2" i="3"/>
  <c r="C3" i="3"/>
  <c r="D3" i="3" s="1"/>
  <c r="C4" i="3"/>
  <c r="D4" i="3" s="1"/>
  <c r="C5" i="3"/>
  <c r="D5" i="3"/>
  <c r="C6" i="3"/>
  <c r="D6" i="3"/>
  <c r="C7" i="3"/>
  <c r="D7" i="3"/>
  <c r="C8" i="3"/>
  <c r="D8" i="3"/>
  <c r="F8" i="3"/>
  <c r="C9" i="3"/>
  <c r="D9" i="3"/>
  <c r="F9" i="3"/>
  <c r="C11" i="3"/>
  <c r="D11" i="3" s="1"/>
  <c r="C13" i="3"/>
  <c r="D13" i="3"/>
  <c r="E13" i="3" s="1"/>
  <c r="H8" i="3" l="1" a="1"/>
  <c r="H8" i="3" s="1"/>
  <c r="E11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<sst xmlns="http://schemas.openxmlformats.org/spreadsheetml/2006/main" count="259" uniqueCount="245">
  <si>
    <t>A</t>
  </si>
  <si>
    <t>B</t>
  </si>
  <si>
    <t>C</t>
  </si>
  <si>
    <t>I all</t>
  </si>
  <si>
    <t>IoA</t>
  </si>
  <si>
    <t>IoB</t>
  </si>
  <si>
    <t>IoC</t>
  </si>
  <si>
    <t>error</t>
  </si>
  <si>
    <t>Comments</t>
  </si>
  <si>
    <t>same</t>
  </si>
  <si>
    <t>Tf same; Tavg A &amp; C ok, B slightly less</t>
  </si>
  <si>
    <t>10min; Tf slight lower, Tavg C ok, A &amp; B slightly less</t>
  </si>
  <si>
    <t>changed limit for A; Tf got lower; Tavg got better</t>
  </si>
  <si>
    <t>Tf worse, Tavg B didn't get better</t>
  </si>
  <si>
    <t>Tf same; Tvag no better change</t>
  </si>
  <si>
    <t>Tf a bit worse; Tavg A &amp; C good, B worse</t>
  </si>
  <si>
    <t>Tf not bad; Tavg very good</t>
  </si>
  <si>
    <t>3b</t>
  </si>
  <si>
    <t>Tavg good same; Tf similar to #8</t>
  </si>
  <si>
    <t>kins</t>
  </si>
  <si>
    <t>1 * 0.078</t>
  </si>
  <si>
    <t>0.8*0.078</t>
  </si>
  <si>
    <t>Tf maybe better but Tavg and profiles not</t>
  </si>
  <si>
    <t>h</t>
  </si>
  <si>
    <t>v6</t>
  </si>
  <si>
    <t>v5</t>
  </si>
  <si>
    <t>good not run</t>
  </si>
  <si>
    <t>Ts</t>
  </si>
  <si>
    <t>T9-T12</t>
  </si>
  <si>
    <t>T8-T12</t>
  </si>
  <si>
    <t>no convergence</t>
  </si>
  <si>
    <t>Input</t>
  </si>
  <si>
    <t>as close as possible to E67</t>
  </si>
  <si>
    <t>v7</t>
  </si>
  <si>
    <t>Comment</t>
  </si>
  <si>
    <t>temperature appeared too low</t>
  </si>
  <si>
    <t>Raytracing</t>
  </si>
  <si>
    <t>changed power x8 to achieve Power on apperture equal to all other cases</t>
  </si>
  <si>
    <t>profile improved significantly but too high</t>
  </si>
  <si>
    <t>power x4 incase the 1/4 symmetry creates the issues</t>
  </si>
  <si>
    <t>agreement got better not ideal</t>
  </si>
  <si>
    <t>no correction as original E67 without the 0.64</t>
  </si>
  <si>
    <t>Heat</t>
  </si>
  <si>
    <t>Cps x 4</t>
  </si>
  <si>
    <t>too low</t>
  </si>
  <si>
    <t>too high</t>
  </si>
  <si>
    <t>added 4x on Psrc</t>
  </si>
  <si>
    <t>back to Cps</t>
  </si>
  <si>
    <t>repeated x4 on Psrc and 0.64 on Io</t>
  </si>
  <si>
    <t>again to high</t>
  </si>
  <si>
    <t>changed to x2</t>
  </si>
  <si>
    <t>removed 0.64, and changed h_nat=10</t>
  </si>
  <si>
    <t>corrected V0 to qlpm/4 to account for 1/4 symmetry</t>
  </si>
  <si>
    <t>added 0.64, h_nat=1, and 1.87x Psrc to match total absorbed power</t>
  </si>
  <si>
    <t>promising results, T3 very good time series, T-length not bad, pasted pictures to Aysha</t>
  </si>
  <si>
    <t>overal temperature reduced, and profile didn’t get better</t>
  </si>
  <si>
    <t>initial of 3b, 1 min</t>
  </si>
  <si>
    <t>failed</t>
  </si>
  <si>
    <t>broadening C limit didn't help</t>
  </si>
  <si>
    <t>C limit to 30</t>
  </si>
  <si>
    <t>corrected m(qlpm, Tamb) and G flux in Re</t>
  </si>
  <si>
    <t>2. x Psrc</t>
  </si>
  <si>
    <t>not bad, but solid not great, modeled is higher, also very strange behavior for Nu because of Pr</t>
  </si>
  <si>
    <t>changed Pr expressin to fixed Tamb</t>
  </si>
  <si>
    <t>gas slightly lower, solid slight higher</t>
  </si>
  <si>
    <t>gas all lower, gas better but all slightly higher</t>
  </si>
  <si>
    <t>similar</t>
  </si>
  <si>
    <t>Cp</t>
  </si>
  <si>
    <t>scatter plot ok but solid profiles not</t>
  </si>
  <si>
    <t>scatter plot worse and solid profiles not</t>
  </si>
  <si>
    <t>gas scatter and profiles ok, solid not</t>
  </si>
  <si>
    <t>solid profiles better than gas</t>
  </si>
  <si>
    <t>init #26, changed limits of A B C</t>
  </si>
  <si>
    <t>RH</t>
  </si>
  <si>
    <t>change limits for C</t>
  </si>
  <si>
    <t>reworked some of the inputs to be able for non-isothermal flow; poor</t>
  </si>
  <si>
    <t>T9-T10</t>
  </si>
  <si>
    <t>had trouble to repeat #9, deactivated multi-physics for surface radiation</t>
  </si>
  <si>
    <t>same as #9, w 2xPsrc</t>
  </si>
  <si>
    <t>too high temperature</t>
  </si>
  <si>
    <t>1.6Psrc</t>
  </si>
  <si>
    <t>gave a good agreement on the Length Profilel</t>
  </si>
  <si>
    <t>1.4x</t>
  </si>
  <si>
    <t>hnat=10</t>
  </si>
  <si>
    <t>better match but not at all points</t>
  </si>
  <si>
    <t>try to change the front temperature; not much difference</t>
  </si>
  <si>
    <t>changed to E68</t>
  </si>
  <si>
    <t>agreement seems similar, but still with the 1.4x in radiation, gas temperature is higher, although solid's looks ok</t>
  </si>
  <si>
    <t>no factors, just the 0.8 correction</t>
  </si>
  <si>
    <t>changed to E78 because of good 0D agreement</t>
  </si>
  <si>
    <t>conjugated; one-way</t>
  </si>
  <si>
    <t>transient solid is low, gas may end up good but not the solid</t>
  </si>
  <si>
    <t>activated multiphysics surface radiation</t>
  </si>
  <si>
    <t>deactivated</t>
  </si>
  <si>
    <t>Surface - Surface Radiation</t>
  </si>
  <si>
    <t>not working</t>
  </si>
  <si>
    <t>added irradiance from ray tracing</t>
  </si>
  <si>
    <t>not working, making a sorter test</t>
  </si>
  <si>
    <t>enabled diffuse irradiance from Raytracing, but closed heat transfer source</t>
  </si>
  <si>
    <t>lower temperature but works</t>
  </si>
  <si>
    <t>deactivated multiphysics surface-surface radiation and readded raytracing source to heat-transfer</t>
  </si>
  <si>
    <t>deactivated surface-surface radiation and multiphysics</t>
  </si>
  <si>
    <t>not working as expected, there is a final result but not a printout during the solution; had to change the plotting units</t>
  </si>
  <si>
    <t>gas temperature very good, not for the solid</t>
  </si>
  <si>
    <t>re-enabled surface-surface radiation</t>
  </si>
  <si>
    <t>no difference in the results</t>
  </si>
  <si>
    <t>repeated #22</t>
  </si>
  <si>
    <t>slower and significantly lower temperatures, continue without surface-surface radiation</t>
  </si>
  <si>
    <t>x2 k_SiC</t>
  </si>
  <si>
    <t>x1 k_SiC ; 4.4 * Cps</t>
  </si>
  <si>
    <t>back to 1; hnat=1</t>
  </si>
  <si>
    <t>added surface to ambient radiation</t>
  </si>
  <si>
    <t>k insulation 0.05</t>
  </si>
  <si>
    <t>seems to have a big impact</t>
  </si>
  <si>
    <t>removed 0.8 from IoC</t>
  </si>
  <si>
    <t>k insulation 0.078</t>
  </si>
  <si>
    <t>k insulation 0.01</t>
  </si>
  <si>
    <t>various tests, added average exit Tg</t>
  </si>
  <si>
    <t>absorbtivity 0.8</t>
  </si>
  <si>
    <t>gas is almost ok, the rest are high</t>
  </si>
  <si>
    <t>7.1 created a model with insulation</t>
  </si>
  <si>
    <t>7.2 extended the insulation to cover the back side</t>
  </si>
  <si>
    <t>absorbtivity 0.7</t>
  </si>
  <si>
    <t>results are to the same scale, but not capturing the x profile; nor the higher middle temperature</t>
  </si>
  <si>
    <t>absorbtivity 0.75</t>
  </si>
  <si>
    <t>included separate emissivity for insulation; h_nat=20</t>
  </si>
  <si>
    <t>somehow similar to previous</t>
  </si>
  <si>
    <t>increase RH to 0.3 from 0.2</t>
  </si>
  <si>
    <t>T3 follows T10 closer</t>
  </si>
  <si>
    <t>was hardcoded in Cp_air, changed to parameter and RH= 0.2</t>
  </si>
  <si>
    <t>temperatures increased faster, and higher</t>
  </si>
  <si>
    <t>RH=0.6</t>
  </si>
  <si>
    <t>gives good agreement with E67 and E78 after modifying some properties and IoA, missing the temperature in the middle</t>
  </si>
  <si>
    <t>increase the insulation size, and remove the T2 temperature</t>
  </si>
  <si>
    <t>check for finer mesh in solid</t>
  </si>
  <si>
    <t>changed kins to previous 0.078</t>
  </si>
  <si>
    <t>overshoots temperature</t>
  </si>
  <si>
    <t>good aggreement; missing temperature in the middle</t>
  </si>
  <si>
    <t>refined solid mesh to obtain a representative</t>
  </si>
  <si>
    <t>doesn't change the overall picture although it adds some strange "variation" in the solid thermocouples</t>
  </si>
  <si>
    <t>refined more specifically the solid</t>
  </si>
  <si>
    <t>changes the profile drastically!!! Verify</t>
  </si>
  <si>
    <t>reduce IoA to normal</t>
  </si>
  <si>
    <t>quite slow but seems ok</t>
  </si>
  <si>
    <t>temperatures a bit lower than expected</t>
  </si>
  <si>
    <t>refine 2: 11M elements</t>
  </si>
  <si>
    <t>changed the mesh to something more reasonable 1.7M elements</t>
  </si>
  <si>
    <t>activate surface-surface-radiation</t>
  </si>
  <si>
    <t>remove insulation, replace with flux</t>
  </si>
  <si>
    <t>temperature has strange profiles; although values appear reasonable -&gt; return to simpler geometry (no insulation) but denser mesh</t>
  </si>
  <si>
    <t>hnat=20;kins=0.078;RH=60</t>
  </si>
  <si>
    <t>1.15IoA; abs=0.7</t>
  </si>
  <si>
    <t>mesh ref=1; tot=Mesh consists of 2143193 elements. Minimum quality: 0.004245; average quality: 0.4794.</t>
  </si>
  <si>
    <t>7.4 without external insulation, just the receiver</t>
  </si>
  <si>
    <t>mesh</t>
  </si>
  <si>
    <t>almost no difference</t>
  </si>
  <si>
    <t>default: Mesh consists of 498559 elements. Minimum quality: 0.004245; average quality: 0.5303.</t>
  </si>
  <si>
    <t>added Domain 1 in Size and Boundary Layer; Mesh consists of 5361129 elements. Minimum quality: 0.00253; average quality: 0.6235.</t>
  </si>
  <si>
    <t>trends appear the same, although a bit more abrupt</t>
  </si>
  <si>
    <t>-&gt;50
Mesh on domain 1 consists of 460315 elements. Minimum quality: 0.009841; average quality: 0.4185.</t>
  </si>
  <si>
    <t>abs=0.85, I_factor=1.</t>
  </si>
  <si>
    <t>-fully coupled</t>
  </si>
  <si>
    <t>doesn't seem to affect anything</t>
  </si>
  <si>
    <t>slightly higher</t>
  </si>
  <si>
    <t>as in #31, significant impact, Tg slight higher</t>
  </si>
  <si>
    <t>fixed gas centerline a bit</t>
  </si>
  <si>
    <t>Fluid temp to an average T_gas_end</t>
  </si>
  <si>
    <t>front temp increased significantly, continue this direction</t>
  </si>
  <si>
    <t>k insulation 0.07</t>
  </si>
  <si>
    <t>the end slightly closer but not the middle necessary</t>
  </si>
  <si>
    <t>7.5 check again the fully coupled</t>
  </si>
  <si>
    <t>RH=0.4</t>
  </si>
  <si>
    <t>realized that density is not changing</t>
  </si>
  <si>
    <t>-changed density to function rather than from interface, removed Bousinesq</t>
  </si>
  <si>
    <t>slight increased of the temperature, closer to actual values</t>
  </si>
  <si>
    <t>insulation heat distance from 40mm to 50mm</t>
  </si>
  <si>
    <t>RH=0.2</t>
  </si>
  <si>
    <t>better length profile worse time values</t>
  </si>
  <si>
    <t>gas very close, a bit higher, solid not that far</t>
  </si>
  <si>
    <t>distance back to 40mm</t>
  </si>
  <si>
    <t>final ok but not everything else</t>
  </si>
  <si>
    <t>moved the shield forward to check the irradiance, increased the size to block anything outside</t>
  </si>
  <si>
    <t>slight lower, only T8 ok but not profile</t>
  </si>
  <si>
    <t>temperature is lower</t>
  </si>
  <si>
    <t>Cps x 0.5</t>
  </si>
  <si>
    <t>Cps normal, k_s x 2</t>
  </si>
  <si>
    <t>lower differences between the solid pieces, slightly higher for the gas</t>
  </si>
  <si>
    <t>temperature increases steeply for all, not just the gas</t>
  </si>
  <si>
    <t>change to Murno 1997 Properties</t>
  </si>
  <si>
    <t>steady states are almost the same, some lower/higher, T8 higher, the rest lower</t>
  </si>
  <si>
    <t>test for E78</t>
  </si>
  <si>
    <t>I_factor=1 but needs some increase to achieve the 256/abs of the input</t>
  </si>
  <si>
    <t>however T3 is ok but overall all others are higher; probably the I_factor 0.8 (0D) is necessary</t>
  </si>
  <si>
    <t>test for E68</t>
  </si>
  <si>
    <t>test for E67</t>
  </si>
  <si>
    <t>activate surface-surface radiation</t>
  </si>
  <si>
    <t>very very similar to S070, thus not worth the extra computation time</t>
  </si>
  <si>
    <t>deactivated, back to v7.5</t>
  </si>
  <si>
    <t>veriffied deactivating the surface-surface radiation yields the same results</t>
  </si>
  <si>
    <t>no obvious changes in the profiles, T8 and T3 are great but not the inbetween</t>
  </si>
  <si>
    <t>ln(f)</t>
  </si>
  <si>
    <t>reflectivity</t>
  </si>
  <si>
    <t>kw/m2</t>
  </si>
  <si>
    <t>100k</t>
  </si>
  <si>
    <t>1M</t>
  </si>
  <si>
    <t>RAYS</t>
  </si>
  <si>
    <t>1.1*304</t>
  </si>
  <si>
    <t>256*0.8</t>
  </si>
  <si>
    <t>Replaced Tracepro with COMSOL Raytracing</t>
  </si>
  <si>
    <t>changed settings and duration of RayTracing</t>
  </si>
  <si>
    <t>ns scale for raytracing is wrong; total Q 164W for 0.1ns and 224W for 0.1μs
temperatures are now to high, but length profile is great, time profile similar</t>
  </si>
  <si>
    <t>increase again empty space to 1mm</t>
  </si>
  <si>
    <t>reduced empty space at the end to limit velocity at the edge channels to 0.2mm</t>
  </si>
  <si>
    <t>profile slightly different than #74, come back again later to see if it makes a difference</t>
  </si>
  <si>
    <t>h_nat=10</t>
  </si>
  <si>
    <t>still high temperature</t>
  </si>
  <si>
    <t>emis = 0.75</t>
  </si>
  <si>
    <t>less but just a 100 degrees, probably need to change factor again; the difference with T8 and T9 reduced</t>
  </si>
  <si>
    <t>almost no differnce, but temperature slightly increased</t>
  </si>
  <si>
    <t>very low temperatures; interestingly T8 is lower than T9 and T10!!!</t>
  </si>
  <si>
    <t>I_factor = 0.7 (260kw/m2)</t>
  </si>
  <si>
    <t>I_factor = 0.5 (136kW/m2)</t>
  </si>
  <si>
    <t>I_factor = 0.6 (164kW/m2)</t>
  </si>
  <si>
    <t>emis = 0.85 (typo 085)</t>
  </si>
  <si>
    <t>abs = 0.625; I_factor = 0.7 (191kw/m2)</t>
  </si>
  <si>
    <t>abs = 0.85; I_factor = 0.6 (223kW/m2)</t>
  </si>
  <si>
    <t>as was: abs = 0.85;  I_factor =1.0 (372kw/m2)</t>
  </si>
  <si>
    <t>abs = 0.85; I_factor = 0.5 (186kW/m2)</t>
  </si>
  <si>
    <t>higher temperature</t>
  </si>
  <si>
    <t>temperature closer, still higher; profile as usual; OBVIOUS ERROR emissitivity</t>
  </si>
  <si>
    <t>emis=0.9</t>
  </si>
  <si>
    <t>emis_test</t>
  </si>
  <si>
    <t>flux=root.emis*root.sigma_const*(root.T_amb^4 - T^4 )*A_tot/(A_tot-A_channel*100)</t>
  </si>
  <si>
    <t>profile but not as great as #80, temp lower</t>
  </si>
  <si>
    <t>emis=0.99 as cavity</t>
  </si>
  <si>
    <t>abs=0.625;I_factor=0.7</t>
  </si>
  <si>
    <t>h_nat=20</t>
  </si>
  <si>
    <t>NOT SURE what are the changes??</t>
  </si>
  <si>
    <t>diffuse scattering</t>
  </si>
  <si>
    <t>temperature didn't change much, but diff T8-T9 increased</t>
  </si>
  <si>
    <t>specular</t>
  </si>
  <si>
    <t>flux 5x</t>
  </si>
  <si>
    <t>10x</t>
  </si>
  <si>
    <t>20x</t>
  </si>
  <si>
    <t>25x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</si>
</sst>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#,##0.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161"/>
      <scheme val="minor"/>
    </font>
    <font>
      <sz val="11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/>
    </xf>
    <xf numFmtId="11" fontId="0" fillId="0" borderId="0" xfId="0" applyNumberFormat="1"/>
    <xf numFmtId="164" fontId="0" fillId="0" borderId="0" xfId="0" applyNumberFormat="1"/>
    <xf numFmtId="0" fontId="0" fillId="0" borderId="0" xfId="0" applyAlignment="1">
      <alignment wrapText="1"/>
    </xf>
    <xf numFmtId="0" fontId="0" fillId="2" borderId="0" xfId="0" applyFill="1" applyAlignment="1">
      <alignment wrapText="1"/>
    </xf>
    <xf numFmtId="0" fontId="0" fillId="0" borderId="0" xfId="0" quotePrefix="1" applyAlignment="1">
      <alignment wrapText="1"/>
    </xf>
    <xf numFmtId="0" fontId="2" fillId="0" borderId="0" xfId="0" applyFont="1" applyAlignment="1">
      <alignment wrapText="1"/>
    </xf>
    <xf numFmtId="0" fontId="1" fillId="0" borderId="0" xfId="0" applyFont="1" applyAlignment="1">
      <alignment wrapText="1"/>
    </xf>
    <xf numFmtId="0" fontId="0" fillId="3" borderId="0" xfId="0" applyFill="1" applyAlignment="1">
      <alignment wrapText="1"/>
    </xf>
    <xf numFmtId="165" fontId="0" fillId="0" borderId="0" xfId="0" applyNumberFormat="1"/>
    <xf numFmtId="0" fontId="0" fillId="3" borderId="0" xfId="0" applyFill="1"/>
    <xf numFmtId="0" fontId="0" fillId="4" borderId="0" xfId="0" applyFill="1" applyAlignment="1">
      <alignment wrapText="1"/>
    </xf>
    <xf numFmtId="0" fontId="0" fillId="5" borderId="0" xfId="0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0"/>
            <c:dispEq val="1"/>
            <c:trendlineLbl>
              <c:layout>
                <c:manualLayout>
                  <c:x val="-7.4031933508311457E-2"/>
                  <c:y val="-0.3080653980752405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Optical!$D$2:$D$7</c:f>
              <c:numCache>
                <c:formatCode>General</c:formatCode>
                <c:ptCount val="6"/>
                <c:pt idx="0">
                  <c:v>1</c:v>
                </c:pt>
                <c:pt idx="1">
                  <c:v>0.4056959714390036</c:v>
                </c:pt>
                <c:pt idx="2">
                  <c:v>0.38103947568968138</c:v>
                </c:pt>
                <c:pt idx="3">
                  <c:v>0.36465261733062615</c:v>
                </c:pt>
                <c:pt idx="4">
                  <c:v>0.30967335963698855</c:v>
                </c:pt>
                <c:pt idx="5">
                  <c:v>0.29536862003780717</c:v>
                </c:pt>
              </c:numCache>
            </c:numRef>
          </c:xVal>
          <c:yVal>
            <c:numRef>
              <c:f>Optical!$E$2:$E$7</c:f>
              <c:numCache>
                <c:formatCode>General</c:formatCode>
                <c:ptCount val="6"/>
                <c:pt idx="0">
                  <c:v>253.24</c:v>
                </c:pt>
                <c:pt idx="1">
                  <c:v>411.95</c:v>
                </c:pt>
                <c:pt idx="2">
                  <c:v>424.73</c:v>
                </c:pt>
                <c:pt idx="3">
                  <c:v>433.62</c:v>
                </c:pt>
                <c:pt idx="4">
                  <c:v>465.24</c:v>
                </c:pt>
                <c:pt idx="5">
                  <c:v>474.38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6B8-4EDE-A032-D1BAC14C24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329712"/>
        <c:axId val="1342330192"/>
      </c:scatterChart>
      <c:valAx>
        <c:axId val="13423297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30192"/>
        <c:crosses val="autoZero"/>
        <c:crossBetween val="midCat"/>
      </c:valAx>
      <c:valAx>
        <c:axId val="1342330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297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[kw/m2 vs bits]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>
              <a:noFill/>
            </a:ln>
          </c:spPr>
          <c:xVal>
            <c:numRef>
              <c:f>Optical!$A$24:$A$32</c:f>
              <c:numCache>
                <c:formatCode>General</c:formatCode>
                <c:ptCount val="9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56</c:v>
                </c:pt>
                <c:pt idx="7">
                  <c:v>72</c:v>
                </c:pt>
                <c:pt idx="8">
                  <c:v>128</c:v>
                </c:pt>
              </c:numCache>
            </c:numRef>
          </c:xVal>
          <c:yVal>
            <c:numRef>
              <c:f>Optical!$B$24:$B$32</c:f>
              <c:numCache>
                <c:formatCode>General</c:formatCode>
                <c:ptCount val="9"/>
                <c:pt idx="0">
                  <c:v>944.52</c:v>
                </c:pt>
                <c:pt idx="1">
                  <c:v>937.69</c:v>
                </c:pt>
                <c:pt idx="2">
                  <c:v>935.35</c:v>
                </c:pt>
                <c:pt idx="3">
                  <c:v>930.12</c:v>
                </c:pt>
                <c:pt idx="4">
                  <c:v>879.43</c:v>
                </c:pt>
                <c:pt idx="5">
                  <c:v>698.38</c:v>
                </c:pt>
                <c:pt idx="6">
                  <c:v>252.03</c:v>
                </c:pt>
                <c:pt idx="7">
                  <c:v>110.16</c:v>
                </c:pt>
                <c:pt idx="8">
                  <c:v>4.5823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FE7-4FEF-B7C5-5CC5A2ED8345}"/>
            </c:ext>
          </c:extLst>
        </c:ser>
        <c:ser>
          <c:idx val="0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Optical!$A$24:$A$32</c:f>
              <c:numCache>
                <c:formatCode>General</c:formatCode>
                <c:ptCount val="9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56</c:v>
                </c:pt>
                <c:pt idx="7">
                  <c:v>72</c:v>
                </c:pt>
                <c:pt idx="8">
                  <c:v>128</c:v>
                </c:pt>
              </c:numCache>
            </c:numRef>
          </c:xVal>
          <c:yVal>
            <c:numRef>
              <c:f>Optical!$C$24:$C$32</c:f>
              <c:numCache>
                <c:formatCode>General</c:formatCode>
                <c:ptCount val="9"/>
                <c:pt idx="0">
                  <c:v>976.65</c:v>
                </c:pt>
                <c:pt idx="1">
                  <c:v>975.74</c:v>
                </c:pt>
                <c:pt idx="2">
                  <c:v>976.6</c:v>
                </c:pt>
                <c:pt idx="3">
                  <c:v>971.42</c:v>
                </c:pt>
                <c:pt idx="4">
                  <c:v>932.35</c:v>
                </c:pt>
                <c:pt idx="5">
                  <c:v>690.54</c:v>
                </c:pt>
                <c:pt idx="6">
                  <c:v>247.76</c:v>
                </c:pt>
                <c:pt idx="7">
                  <c:v>115.61</c:v>
                </c:pt>
                <c:pt idx="8">
                  <c:v>4.1428000000000003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FE7-4FEF-B7C5-5CC5A2ED83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339312"/>
        <c:axId val="1342340752"/>
      </c:scatterChart>
      <c:valAx>
        <c:axId val="13423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40752"/>
        <c:crosses val="autoZero"/>
        <c:crossBetween val="midCat"/>
      </c:valAx>
      <c:valAx>
        <c:axId val="134234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39312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 w="25400">
              <a:noFill/>
            </a:ln>
          </c:spPr>
          <c:xVal>
            <c:numRef>
              <c:f>Optical!$A$24:$A$32</c:f>
              <c:numCache>
                <c:formatCode>General</c:formatCode>
                <c:ptCount val="9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56</c:v>
                </c:pt>
                <c:pt idx="7">
                  <c:v>72</c:v>
                </c:pt>
                <c:pt idx="8">
                  <c:v>128</c:v>
                </c:pt>
              </c:numCache>
            </c:numRef>
          </c:xVal>
          <c:yVal>
            <c:numRef>
              <c:f>Optical!$D$24:$D$32</c:f>
              <c:numCache>
                <c:formatCode>General</c:formatCode>
                <c:ptCount val="9"/>
                <c:pt idx="0">
                  <c:v>6.8506768619423593</c:v>
                </c:pt>
                <c:pt idx="1">
                  <c:v>6.8434194039771183</c:v>
                </c:pt>
                <c:pt idx="2">
                  <c:v>6.8409207907949137</c:v>
                </c:pt>
                <c:pt idx="3">
                  <c:v>6.8353136100814202</c:v>
                </c:pt>
                <c:pt idx="4">
                  <c:v>6.7792739703335858</c:v>
                </c:pt>
                <c:pt idx="5">
                  <c:v>6.5487633672310421</c:v>
                </c:pt>
                <c:pt idx="6">
                  <c:v>5.5295481280448655</c:v>
                </c:pt>
                <c:pt idx="7">
                  <c:v>4.7019338544203997</c:v>
                </c:pt>
                <c:pt idx="8">
                  <c:v>1.5222010554803194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692-4935-9025-60A43A2E143C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-0.37969619422572176"/>
                  <c:y val="-9.533172936716244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Optical!$A$24:$A$32</c:f>
              <c:numCache>
                <c:formatCode>General</c:formatCode>
                <c:ptCount val="9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56</c:v>
                </c:pt>
                <c:pt idx="7">
                  <c:v>72</c:v>
                </c:pt>
                <c:pt idx="8">
                  <c:v>128</c:v>
                </c:pt>
              </c:numCache>
            </c:numRef>
          </c:xVal>
          <c:yVal>
            <c:numRef>
              <c:f>Optical!$E$24:$E$32</c:f>
              <c:numCache>
                <c:formatCode>General</c:formatCode>
                <c:ptCount val="9"/>
                <c:pt idx="0">
                  <c:v>6.8841283483509805</c:v>
                </c:pt>
                <c:pt idx="1">
                  <c:v>6.883196157481434</c:v>
                </c:pt>
                <c:pt idx="2">
                  <c:v>6.8840771516275598</c:v>
                </c:pt>
                <c:pt idx="3">
                  <c:v>6.8787589185405453</c:v>
                </c:pt>
                <c:pt idx="4">
                  <c:v>6.8377082806701024</c:v>
                </c:pt>
                <c:pt idx="5">
                  <c:v>6.5374739002084548</c:v>
                </c:pt>
                <c:pt idx="6">
                  <c:v>5.512460535664947</c:v>
                </c:pt>
                <c:pt idx="7">
                  <c:v>4.7502224576872303</c:v>
                </c:pt>
                <c:pt idx="8">
                  <c:v>1.4213718877325867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692-4935-9025-60A43A2E14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339312"/>
        <c:axId val="1342340752"/>
      </c:scatterChart>
      <c:valAx>
        <c:axId val="13423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40752"/>
        <c:crosses val="autoZero"/>
        <c:crossBetween val="midCat"/>
      </c:valAx>
      <c:valAx>
        <c:axId val="134234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39312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Optical!$A$36:$A$41</c:f>
              <c:numCache>
                <c:formatCode>General</c:formatCode>
                <c:ptCount val="6"/>
                <c:pt idx="0">
                  <c:v>0.9</c:v>
                </c:pt>
                <c:pt idx="1">
                  <c:v>0.7</c:v>
                </c:pt>
                <c:pt idx="2">
                  <c:v>0.64700000000000002</c:v>
                </c:pt>
                <c:pt idx="3">
                  <c:v>0.63</c:v>
                </c:pt>
                <c:pt idx="4">
                  <c:v>0.62</c:v>
                </c:pt>
                <c:pt idx="5">
                  <c:v>0.61499999999999999</c:v>
                </c:pt>
              </c:numCache>
            </c:numRef>
          </c:xVal>
          <c:yVal>
            <c:numRef>
              <c:f>Optical!$B$36:$B$41</c:f>
              <c:numCache>
                <c:formatCode>General</c:formatCode>
                <c:ptCount val="6"/>
                <c:pt idx="0">
                  <c:v>975</c:v>
                </c:pt>
                <c:pt idx="1">
                  <c:v>589.41999999999996</c:v>
                </c:pt>
                <c:pt idx="2">
                  <c:v>503</c:v>
                </c:pt>
                <c:pt idx="3">
                  <c:v>477</c:v>
                </c:pt>
                <c:pt idx="4">
                  <c:v>462</c:v>
                </c:pt>
                <c:pt idx="5">
                  <c:v>455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74D-4D4F-9DB1-8E7BBA0A1E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0914144"/>
        <c:axId val="1010914624"/>
      </c:scatterChart>
      <c:valAx>
        <c:axId val="1010914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0914624"/>
        <c:crosses val="autoZero"/>
        <c:crossBetween val="midCat"/>
      </c:valAx>
      <c:valAx>
        <c:axId val="101091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09141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1</xdr:row>
      <xdr:rowOff>52387</xdr:rowOff>
    </xdr:from>
    <xdr:to>
      <xdr:col>17</xdr:col>
      <xdr:colOff>419100</xdr:colOff>
      <xdr:row>15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855E39A-803E-4783-977D-BCF8C678C2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57150</xdr:colOff>
      <xdr:row>19</xdr:row>
      <xdr:rowOff>42862</xdr:rowOff>
    </xdr:from>
    <xdr:to>
      <xdr:col>12</xdr:col>
      <xdr:colOff>361950</xdr:colOff>
      <xdr:row>33</xdr:row>
      <xdr:rowOff>119062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307687E-D372-8022-4736-BC788A6D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495300</xdr:colOff>
      <xdr:row>19</xdr:row>
      <xdr:rowOff>19050</xdr:rowOff>
    </xdr:from>
    <xdr:to>
      <xdr:col>20</xdr:col>
      <xdr:colOff>190500</xdr:colOff>
      <xdr:row>33</xdr:row>
      <xdr:rowOff>95250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58DDB3A-0D4A-4790-AFC6-8C16C09D09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381000</xdr:colOff>
      <xdr:row>35</xdr:row>
      <xdr:rowOff>176212</xdr:rowOff>
    </xdr:from>
    <xdr:to>
      <xdr:col>13</xdr:col>
      <xdr:colOff>76200</xdr:colOff>
      <xdr:row>49</xdr:row>
      <xdr:rowOff>61912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A31AF09-D5CD-ECAC-6A18-BDD61DAE1F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O40"/>
  <sheetViews>
    <sheetView topLeftCell="A10" workbookViewId="0">
      <selection activeCell="O1" sqref="O1:O1048576"/>
    </sheetView>
  </sheetViews>
  <sheetFormatPr defaultRowHeight="14.4" x14ac:dyDescent="0.3"/>
  <cols>
    <col min="15" max="15" width="46.88671875" bestFit="1" customWidth="1"/>
  </cols>
  <sheetData>
    <row r="2" spans="1:15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19</v>
      </c>
      <c r="J2" s="1" t="s">
        <v>23</v>
      </c>
      <c r="K2" s="1" t="s">
        <v>27</v>
      </c>
      <c r="L2" s="1" t="s">
        <v>67</v>
      </c>
      <c r="M2" s="1" t="s">
        <v>73</v>
      </c>
      <c r="N2" s="1" t="s">
        <v>7</v>
      </c>
      <c r="O2" s="1" t="s">
        <v>8</v>
      </c>
    </row>
    <row r="3" spans="1:15" x14ac:dyDescent="0.3">
      <c r="A3">
        <v>1</v>
      </c>
      <c r="B3" s="3">
        <v>1.24017003587548E-3</v>
      </c>
      <c r="C3">
        <v>1.3974854403316901</v>
      </c>
      <c r="D3">
        <v>1.6350743193202899</v>
      </c>
      <c r="E3">
        <v>0.64</v>
      </c>
      <c r="F3">
        <v>1.1000000000000001</v>
      </c>
      <c r="G3">
        <v>1.2</v>
      </c>
      <c r="H3">
        <v>0.8</v>
      </c>
      <c r="I3" t="s">
        <v>20</v>
      </c>
      <c r="J3" t="s">
        <v>24</v>
      </c>
      <c r="K3" t="s">
        <v>28</v>
      </c>
      <c r="L3">
        <v>1</v>
      </c>
      <c r="M3">
        <v>0.4</v>
      </c>
      <c r="N3">
        <v>499.47699999999998</v>
      </c>
      <c r="O3" t="s">
        <v>11</v>
      </c>
    </row>
    <row r="4" spans="1:15" x14ac:dyDescent="0.3">
      <c r="A4">
        <v>2</v>
      </c>
      <c r="B4" s="3">
        <v>9.7997522561352798E-4</v>
      </c>
      <c r="C4">
        <v>1.4059359592048799</v>
      </c>
      <c r="D4">
        <v>2.4349761382305499</v>
      </c>
      <c r="E4">
        <v>0.66</v>
      </c>
      <c r="N4">
        <v>528.26599999999996</v>
      </c>
      <c r="O4" t="s">
        <v>9</v>
      </c>
    </row>
    <row r="5" spans="1:15" x14ac:dyDescent="0.3">
      <c r="A5">
        <v>3</v>
      </c>
      <c r="B5" s="3">
        <v>1.00002800832326E-4</v>
      </c>
      <c r="C5">
        <v>1.3282580903963901</v>
      </c>
      <c r="D5">
        <v>16.077659504854701</v>
      </c>
      <c r="E5">
        <v>0.64</v>
      </c>
      <c r="F5">
        <v>1</v>
      </c>
      <c r="N5">
        <v>473.34</v>
      </c>
      <c r="O5" t="s">
        <v>10</v>
      </c>
    </row>
    <row r="6" spans="1:15" x14ac:dyDescent="0.3">
      <c r="A6">
        <v>4</v>
      </c>
      <c r="B6" s="3">
        <v>3.0774692673678297E-5</v>
      </c>
      <c r="C6">
        <v>1.4802745324312101</v>
      </c>
      <c r="D6">
        <v>19.9517218966303</v>
      </c>
      <c r="G6">
        <v>1.1000000000000001</v>
      </c>
      <c r="O6" t="s">
        <v>12</v>
      </c>
    </row>
    <row r="7" spans="1:15" x14ac:dyDescent="0.3">
      <c r="A7">
        <v>5</v>
      </c>
      <c r="B7" s="3">
        <v>3.1142977666936498E-3</v>
      </c>
      <c r="C7">
        <v>1.2623131975854101</v>
      </c>
      <c r="D7">
        <v>2.7362624606074699E-3</v>
      </c>
      <c r="G7">
        <v>1</v>
      </c>
      <c r="N7">
        <v>604.08600000000001</v>
      </c>
      <c r="O7" t="s">
        <v>13</v>
      </c>
    </row>
    <row r="8" spans="1:15" x14ac:dyDescent="0.3">
      <c r="A8">
        <v>6</v>
      </c>
      <c r="B8" s="3">
        <v>2.7615114875290401E-3</v>
      </c>
      <c r="C8">
        <v>1.2412550503592701</v>
      </c>
      <c r="D8">
        <v>1E-4</v>
      </c>
      <c r="E8">
        <v>0.7</v>
      </c>
      <c r="O8" t="s">
        <v>14</v>
      </c>
    </row>
    <row r="9" spans="1:15" x14ac:dyDescent="0.3">
      <c r="A9">
        <v>7</v>
      </c>
      <c r="B9" s="3">
        <v>3.10648772630206E-3</v>
      </c>
      <c r="C9">
        <v>1.2756696149129301</v>
      </c>
      <c r="D9">
        <v>1E-4</v>
      </c>
      <c r="E9">
        <v>0.63</v>
      </c>
      <c r="O9" t="s">
        <v>15</v>
      </c>
    </row>
    <row r="10" spans="1:15" x14ac:dyDescent="0.3">
      <c r="A10">
        <v>8</v>
      </c>
      <c r="B10" s="3">
        <v>8.6454867421348301E-5</v>
      </c>
      <c r="C10">
        <v>1.64491004515391</v>
      </c>
      <c r="D10">
        <v>12.0217117639568</v>
      </c>
      <c r="G10">
        <v>1.2</v>
      </c>
      <c r="N10">
        <v>500</v>
      </c>
      <c r="O10" t="s">
        <v>16</v>
      </c>
    </row>
    <row r="11" spans="1:15" x14ac:dyDescent="0.3">
      <c r="A11" t="s">
        <v>17</v>
      </c>
      <c r="B11" s="3">
        <v>3.7125021077593002E-4</v>
      </c>
      <c r="C11">
        <v>1.3930651456031</v>
      </c>
      <c r="D11">
        <v>8.3576305806791193</v>
      </c>
      <c r="E11">
        <v>0.64</v>
      </c>
      <c r="N11">
        <v>480</v>
      </c>
      <c r="O11" t="s">
        <v>18</v>
      </c>
    </row>
    <row r="12" spans="1:15" x14ac:dyDescent="0.3">
      <c r="A12">
        <v>9</v>
      </c>
      <c r="B12" s="2">
        <v>2.6620817681730501E-5</v>
      </c>
      <c r="C12">
        <v>1.4175004404023599</v>
      </c>
      <c r="D12">
        <v>19.9997174906579</v>
      </c>
      <c r="I12" t="s">
        <v>21</v>
      </c>
      <c r="N12">
        <v>672</v>
      </c>
      <c r="O12" t="s">
        <v>22</v>
      </c>
    </row>
    <row r="13" spans="1:15" x14ac:dyDescent="0.3">
      <c r="A13">
        <v>10</v>
      </c>
      <c r="J13" t="s">
        <v>25</v>
      </c>
      <c r="O13" t="s">
        <v>26</v>
      </c>
    </row>
    <row r="14" spans="1:15" x14ac:dyDescent="0.3">
      <c r="A14">
        <v>11</v>
      </c>
      <c r="K14" t="s">
        <v>29</v>
      </c>
      <c r="N14">
        <v>25612</v>
      </c>
      <c r="O14" t="s">
        <v>30</v>
      </c>
    </row>
    <row r="15" spans="1:15" x14ac:dyDescent="0.3">
      <c r="A15">
        <v>12</v>
      </c>
      <c r="B15" s="2">
        <v>3.3035945380220997E-5</v>
      </c>
      <c r="C15">
        <v>1.43770025274668</v>
      </c>
      <c r="D15">
        <v>20</v>
      </c>
      <c r="J15" t="s">
        <v>24</v>
      </c>
      <c r="K15" t="s">
        <v>28</v>
      </c>
      <c r="N15">
        <v>469</v>
      </c>
      <c r="O15" t="s">
        <v>56</v>
      </c>
    </row>
    <row r="16" spans="1:15" x14ac:dyDescent="0.3">
      <c r="A16">
        <v>13</v>
      </c>
      <c r="N16" t="s">
        <v>57</v>
      </c>
      <c r="O16" t="s">
        <v>58</v>
      </c>
    </row>
    <row r="17" spans="1:15" x14ac:dyDescent="0.3">
      <c r="A17">
        <v>14</v>
      </c>
      <c r="B17" s="2">
        <v>1.03191509408719E-5</v>
      </c>
      <c r="C17">
        <v>1.4319313285872399</v>
      </c>
      <c r="D17">
        <v>25.984272299692599</v>
      </c>
      <c r="N17">
        <v>465</v>
      </c>
      <c r="O17" t="s">
        <v>59</v>
      </c>
    </row>
    <row r="18" spans="1:15" x14ac:dyDescent="0.3">
      <c r="A18">
        <v>15</v>
      </c>
      <c r="O18" t="s">
        <v>60</v>
      </c>
    </row>
    <row r="19" spans="1:15" x14ac:dyDescent="0.3">
      <c r="A19">
        <v>16</v>
      </c>
      <c r="E19">
        <v>0.84</v>
      </c>
      <c r="N19">
        <v>850</v>
      </c>
      <c r="O19" t="s">
        <v>62</v>
      </c>
    </row>
    <row r="20" spans="1:15" x14ac:dyDescent="0.3">
      <c r="A20">
        <v>17</v>
      </c>
      <c r="O20" t="s">
        <v>63</v>
      </c>
    </row>
    <row r="21" spans="1:15" x14ac:dyDescent="0.3">
      <c r="A21">
        <v>18</v>
      </c>
      <c r="E21">
        <v>0.74</v>
      </c>
      <c r="F21">
        <v>1.1000000000000001</v>
      </c>
      <c r="N21">
        <v>573</v>
      </c>
      <c r="O21" t="s">
        <v>64</v>
      </c>
    </row>
    <row r="22" spans="1:15" x14ac:dyDescent="0.3">
      <c r="A22">
        <v>19</v>
      </c>
      <c r="E22">
        <v>0.64</v>
      </c>
      <c r="N22">
        <v>607</v>
      </c>
      <c r="O22" t="s">
        <v>65</v>
      </c>
    </row>
    <row r="23" spans="1:15" x14ac:dyDescent="0.3">
      <c r="A23">
        <v>20</v>
      </c>
      <c r="B23">
        <v>5.6058995390906102E-4</v>
      </c>
      <c r="C23">
        <v>1.6106589591624401</v>
      </c>
      <c r="D23">
        <v>9.910468968988089E-4</v>
      </c>
      <c r="E23">
        <v>0.7</v>
      </c>
      <c r="N23">
        <v>502</v>
      </c>
      <c r="O23" t="s">
        <v>66</v>
      </c>
    </row>
    <row r="24" spans="1:15" x14ac:dyDescent="0.3">
      <c r="A24">
        <v>21</v>
      </c>
      <c r="B24" s="2">
        <v>1.0024299213338499E-5</v>
      </c>
      <c r="C24">
        <v>2.9323882617891202</v>
      </c>
      <c r="D24">
        <v>1E-4</v>
      </c>
      <c r="L24">
        <v>4.4000000000000004</v>
      </c>
      <c r="N24">
        <v>1641</v>
      </c>
      <c r="O24" t="s">
        <v>68</v>
      </c>
    </row>
    <row r="25" spans="1:15" x14ac:dyDescent="0.3">
      <c r="A25">
        <v>22</v>
      </c>
      <c r="B25" s="2">
        <v>2.0887059774144901E-5</v>
      </c>
      <c r="C25">
        <v>2.5052539496126101</v>
      </c>
      <c r="D25">
        <v>1.8829968719792201E-2</v>
      </c>
      <c r="E25">
        <v>1</v>
      </c>
      <c r="N25">
        <v>1071</v>
      </c>
      <c r="O25" t="s">
        <v>69</v>
      </c>
    </row>
    <row r="26" spans="1:15" x14ac:dyDescent="0.3">
      <c r="A26">
        <v>23</v>
      </c>
      <c r="L26">
        <v>1</v>
      </c>
      <c r="N26">
        <v>1892</v>
      </c>
      <c r="O26" t="s">
        <v>70</v>
      </c>
    </row>
    <row r="27" spans="1:15" x14ac:dyDescent="0.3">
      <c r="A27">
        <v>24</v>
      </c>
      <c r="B27">
        <v>2.1591196456141501E-4</v>
      </c>
      <c r="C27">
        <v>1.7189995203791599</v>
      </c>
      <c r="D27">
        <v>1.20209817420813</v>
      </c>
      <c r="E27">
        <v>0.9</v>
      </c>
      <c r="N27">
        <v>1354</v>
      </c>
    </row>
    <row r="28" spans="1:15" x14ac:dyDescent="0.3">
      <c r="A28">
        <v>25</v>
      </c>
      <c r="B28">
        <v>3.0880065502844102E-4</v>
      </c>
      <c r="C28">
        <v>1.7074022707650001</v>
      </c>
      <c r="D28">
        <v>3.7186641941726502E-4</v>
      </c>
      <c r="E28">
        <v>0.85</v>
      </c>
    </row>
    <row r="29" spans="1:15" x14ac:dyDescent="0.3">
      <c r="A29">
        <v>26</v>
      </c>
      <c r="E29">
        <v>0.7</v>
      </c>
      <c r="N29">
        <v>502</v>
      </c>
      <c r="O29" t="s">
        <v>71</v>
      </c>
    </row>
    <row r="30" spans="1:15" x14ac:dyDescent="0.3">
      <c r="A30">
        <v>27</v>
      </c>
      <c r="B30">
        <v>4.60311808037377E-4</v>
      </c>
      <c r="C30">
        <v>1.66187478217667</v>
      </c>
      <c r="D30">
        <v>1.3738648256894E-4</v>
      </c>
      <c r="N30">
        <v>502</v>
      </c>
      <c r="O30" t="s">
        <v>72</v>
      </c>
    </row>
    <row r="31" spans="1:15" x14ac:dyDescent="0.3">
      <c r="A31">
        <v>28</v>
      </c>
      <c r="B31">
        <v>5.86247778425387E-4</v>
      </c>
      <c r="C31">
        <v>1.6630696101604501</v>
      </c>
      <c r="D31" s="2">
        <v>9.39537377217747E-5</v>
      </c>
      <c r="M31">
        <v>0.6</v>
      </c>
      <c r="N31">
        <v>522</v>
      </c>
    </row>
    <row r="32" spans="1:15" x14ac:dyDescent="0.3">
      <c r="A32">
        <v>29</v>
      </c>
      <c r="N32">
        <v>522</v>
      </c>
      <c r="O32" t="s">
        <v>74</v>
      </c>
    </row>
    <row r="33" spans="1:14" x14ac:dyDescent="0.3">
      <c r="A33">
        <v>30</v>
      </c>
      <c r="B33">
        <v>2.8727643386340098E-4</v>
      </c>
      <c r="C33">
        <v>1.5904189645704501</v>
      </c>
      <c r="D33">
        <v>1.0263197679569199E-4</v>
      </c>
      <c r="M33">
        <v>0</v>
      </c>
      <c r="N33">
        <v>563</v>
      </c>
    </row>
    <row r="34" spans="1:14" x14ac:dyDescent="0.3">
      <c r="A34">
        <v>31</v>
      </c>
      <c r="B34">
        <v>3.0928717643758302E-4</v>
      </c>
      <c r="C34">
        <v>1.5965904733758101</v>
      </c>
      <c r="D34">
        <v>2.4080124471630401E-4</v>
      </c>
      <c r="F34">
        <v>1</v>
      </c>
      <c r="G34">
        <v>1.1000000000000001</v>
      </c>
      <c r="N34">
        <v>461</v>
      </c>
    </row>
    <row r="35" spans="1:14" x14ac:dyDescent="0.3">
      <c r="A35">
        <v>32</v>
      </c>
      <c r="B35">
        <v>2.4681495887314401E-4</v>
      </c>
      <c r="C35">
        <v>1.6624759537039799</v>
      </c>
      <c r="D35">
        <v>1.7341179006468701E-4</v>
      </c>
      <c r="K35" t="s">
        <v>76</v>
      </c>
      <c r="N35">
        <v>482</v>
      </c>
    </row>
    <row r="36" spans="1:14" x14ac:dyDescent="0.3">
      <c r="A36">
        <v>33</v>
      </c>
      <c r="E36">
        <v>0.64</v>
      </c>
      <c r="K36" t="s">
        <v>28</v>
      </c>
      <c r="N36">
        <v>586</v>
      </c>
    </row>
    <row r="37" spans="1:14" x14ac:dyDescent="0.3">
      <c r="A37">
        <v>34</v>
      </c>
      <c r="E37">
        <v>0.75</v>
      </c>
      <c r="N37">
        <v>550</v>
      </c>
    </row>
    <row r="38" spans="1:14" x14ac:dyDescent="0.3">
      <c r="A38">
        <v>35</v>
      </c>
    </row>
    <row r="39" spans="1:14" x14ac:dyDescent="0.3">
      <c r="A39">
        <v>36</v>
      </c>
    </row>
    <row r="40" spans="1:14" x14ac:dyDescent="0.3">
      <c r="A40">
        <v>37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19FA9-A01B-4042-9995-5A31C36523E9}">
  <dimension ref="A2:J99"/>
  <sheetViews>
    <sheetView tabSelected="1" zoomScaleNormal="100" workbookViewId="0">
      <pane xSplit="1" ySplit="2" topLeftCell="B75" activePane="bottomRight" state="frozen"/>
      <selection pane="topRight" activeCell="B1" sqref="B1"/>
      <selection pane="bottomLeft" activeCell="A3" sqref="A3"/>
      <selection pane="bottomRight" activeCell="A95" sqref="A95"/>
    </sheetView>
  </sheetViews>
  <sheetFormatPr defaultColWidth="9.109375" defaultRowHeight="14.4" x14ac:dyDescent="0.3"/>
  <cols>
    <col min="1" max="2" width="9.109375" style="4"/>
    <col min="3" max="3" width="31.88671875" style="4" customWidth="1"/>
    <col min="4" max="4" width="33.33203125" style="4" customWidth="1"/>
    <col min="5" max="5" width="37.44140625" style="4" customWidth="1"/>
    <col min="6" max="8" width="33.33203125" style="4" customWidth="1"/>
    <col min="9" max="9" width="55.109375" style="4" customWidth="1"/>
    <col min="10" max="10" width="29.88671875" style="4" customWidth="1"/>
    <col min="11" max="16384" width="9.109375" style="4"/>
  </cols>
  <sheetData>
    <row r="2" spans="1:9" x14ac:dyDescent="0.3">
      <c r="D2" s="4" t="s">
        <v>31</v>
      </c>
      <c r="E2" s="4" t="s">
        <v>154</v>
      </c>
      <c r="F2" s="4" t="s">
        <v>42</v>
      </c>
      <c r="G2" s="4" t="s">
        <v>94</v>
      </c>
      <c r="H2" s="4" t="s">
        <v>36</v>
      </c>
      <c r="I2" s="4" t="s">
        <v>34</v>
      </c>
    </row>
    <row r="3" spans="1:9" x14ac:dyDescent="0.3">
      <c r="A3" s="4">
        <v>1</v>
      </c>
      <c r="B3" s="4" t="s">
        <v>33</v>
      </c>
      <c r="C3" s="4" t="s">
        <v>90</v>
      </c>
      <c r="D3" s="4" t="s">
        <v>32</v>
      </c>
      <c r="I3" s="4" t="s">
        <v>35</v>
      </c>
    </row>
    <row r="4" spans="1:9" ht="28.8" x14ac:dyDescent="0.3">
      <c r="A4" s="4">
        <v>2</v>
      </c>
      <c r="H4" s="4" t="s">
        <v>37</v>
      </c>
      <c r="I4" s="4" t="s">
        <v>38</v>
      </c>
    </row>
    <row r="5" spans="1:9" ht="28.8" x14ac:dyDescent="0.3">
      <c r="A5" s="4">
        <v>3</v>
      </c>
      <c r="H5" s="4" t="s">
        <v>39</v>
      </c>
      <c r="I5" s="4" t="s">
        <v>40</v>
      </c>
    </row>
    <row r="6" spans="1:9" ht="28.8" x14ac:dyDescent="0.3">
      <c r="A6" s="4">
        <v>4</v>
      </c>
      <c r="F6" s="4" t="s">
        <v>43</v>
      </c>
      <c r="H6" s="4" t="s">
        <v>41</v>
      </c>
      <c r="I6" s="4" t="s">
        <v>44</v>
      </c>
    </row>
    <row r="7" spans="1:9" x14ac:dyDescent="0.3">
      <c r="A7" s="4">
        <v>5</v>
      </c>
      <c r="H7" s="4" t="s">
        <v>46</v>
      </c>
      <c r="I7" s="4" t="s">
        <v>45</v>
      </c>
    </row>
    <row r="8" spans="1:9" x14ac:dyDescent="0.3">
      <c r="A8" s="4">
        <v>6</v>
      </c>
      <c r="F8" s="4" t="s">
        <v>47</v>
      </c>
      <c r="H8" s="4" t="s">
        <v>48</v>
      </c>
      <c r="I8" s="4" t="s">
        <v>49</v>
      </c>
    </row>
    <row r="9" spans="1:9" x14ac:dyDescent="0.3">
      <c r="A9" s="4">
        <v>7</v>
      </c>
      <c r="H9" s="4" t="s">
        <v>50</v>
      </c>
      <c r="I9" s="4" t="s">
        <v>44</v>
      </c>
    </row>
    <row r="10" spans="1:9" x14ac:dyDescent="0.3">
      <c r="A10" s="4">
        <v>8</v>
      </c>
      <c r="H10" s="4" t="s">
        <v>51</v>
      </c>
    </row>
    <row r="11" spans="1:9" ht="28.8" x14ac:dyDescent="0.3">
      <c r="A11" s="4">
        <v>9</v>
      </c>
      <c r="D11" s="4" t="s">
        <v>52</v>
      </c>
      <c r="H11" s="4" t="s">
        <v>53</v>
      </c>
      <c r="I11" s="4" t="s">
        <v>54</v>
      </c>
    </row>
    <row r="12" spans="1:9" x14ac:dyDescent="0.3">
      <c r="A12" s="4">
        <v>10</v>
      </c>
      <c r="F12" s="4" t="s">
        <v>43</v>
      </c>
      <c r="I12" s="4" t="s">
        <v>55</v>
      </c>
    </row>
    <row r="13" spans="1:9" x14ac:dyDescent="0.3">
      <c r="A13" s="4">
        <v>11</v>
      </c>
      <c r="F13" s="4" t="s">
        <v>47</v>
      </c>
    </row>
    <row r="14" spans="1:9" ht="28.8" x14ac:dyDescent="0.3">
      <c r="A14" s="4">
        <v>12</v>
      </c>
      <c r="H14" s="4" t="s">
        <v>61</v>
      </c>
      <c r="I14" s="4" t="s">
        <v>75</v>
      </c>
    </row>
    <row r="15" spans="1:9" ht="28.8" x14ac:dyDescent="0.3">
      <c r="A15" s="4">
        <v>13</v>
      </c>
      <c r="G15" s="4" t="s">
        <v>93</v>
      </c>
      <c r="I15" s="4" t="s">
        <v>77</v>
      </c>
    </row>
    <row r="16" spans="1:9" x14ac:dyDescent="0.3">
      <c r="A16" s="4">
        <v>14</v>
      </c>
      <c r="H16" s="4" t="s">
        <v>78</v>
      </c>
      <c r="I16" s="4" t="s">
        <v>79</v>
      </c>
    </row>
    <row r="17" spans="1:9" x14ac:dyDescent="0.3">
      <c r="A17" s="4">
        <v>15</v>
      </c>
      <c r="H17" s="4" t="s">
        <v>80</v>
      </c>
      <c r="I17" s="4" t="s">
        <v>81</v>
      </c>
    </row>
    <row r="18" spans="1:9" x14ac:dyDescent="0.3">
      <c r="A18" s="4">
        <v>16</v>
      </c>
      <c r="H18" s="4" t="s">
        <v>82</v>
      </c>
      <c r="I18" s="4" t="s">
        <v>84</v>
      </c>
    </row>
    <row r="19" spans="1:9" x14ac:dyDescent="0.3">
      <c r="A19" s="4">
        <v>17</v>
      </c>
      <c r="F19" s="4" t="s">
        <v>83</v>
      </c>
      <c r="I19" s="4" t="s">
        <v>85</v>
      </c>
    </row>
    <row r="20" spans="1:9" ht="28.8" x14ac:dyDescent="0.3">
      <c r="A20" s="4">
        <v>18</v>
      </c>
      <c r="D20" s="4" t="s">
        <v>86</v>
      </c>
      <c r="I20" s="4" t="s">
        <v>87</v>
      </c>
    </row>
    <row r="21" spans="1:9" ht="28.8" x14ac:dyDescent="0.3">
      <c r="A21" s="4">
        <v>19</v>
      </c>
      <c r="D21" s="4" t="s">
        <v>89</v>
      </c>
      <c r="H21" s="4" t="s">
        <v>88</v>
      </c>
      <c r="I21" s="4" t="s">
        <v>91</v>
      </c>
    </row>
    <row r="22" spans="1:9" ht="28.8" x14ac:dyDescent="0.3">
      <c r="A22" s="4">
        <v>20</v>
      </c>
      <c r="G22" s="4" t="s">
        <v>92</v>
      </c>
      <c r="I22" s="4" t="s">
        <v>95</v>
      </c>
    </row>
    <row r="23" spans="1:9" x14ac:dyDescent="0.3">
      <c r="A23" s="4">
        <v>21</v>
      </c>
      <c r="G23" s="4" t="s">
        <v>96</v>
      </c>
      <c r="I23" s="4" t="s">
        <v>97</v>
      </c>
    </row>
    <row r="24" spans="1:9" ht="43.2" x14ac:dyDescent="0.3">
      <c r="A24" s="4">
        <v>22</v>
      </c>
      <c r="G24" s="4" t="s">
        <v>98</v>
      </c>
      <c r="I24" s="4" t="s">
        <v>99</v>
      </c>
    </row>
    <row r="25" spans="1:9" ht="28.8" x14ac:dyDescent="0.3">
      <c r="A25" s="4">
        <v>23</v>
      </c>
      <c r="G25" s="4" t="s">
        <v>101</v>
      </c>
      <c r="I25" s="4" t="s">
        <v>102</v>
      </c>
    </row>
    <row r="26" spans="1:9" ht="43.2" x14ac:dyDescent="0.3">
      <c r="A26" s="4">
        <v>24</v>
      </c>
      <c r="G26" s="4" t="s">
        <v>100</v>
      </c>
      <c r="I26" s="4" t="s">
        <v>103</v>
      </c>
    </row>
    <row r="27" spans="1:9" x14ac:dyDescent="0.3">
      <c r="A27" s="4">
        <v>25</v>
      </c>
      <c r="G27" s="4" t="s">
        <v>104</v>
      </c>
      <c r="I27" s="4" t="s">
        <v>105</v>
      </c>
    </row>
    <row r="28" spans="1:9" ht="28.8" x14ac:dyDescent="0.3">
      <c r="A28" s="4">
        <v>26</v>
      </c>
      <c r="G28" s="4" t="s">
        <v>106</v>
      </c>
      <c r="I28" s="4" t="s">
        <v>107</v>
      </c>
    </row>
    <row r="29" spans="1:9" ht="28.8" x14ac:dyDescent="0.3">
      <c r="A29" s="4">
        <v>27</v>
      </c>
      <c r="F29" s="4" t="s">
        <v>108</v>
      </c>
      <c r="G29" s="4" t="s">
        <v>101</v>
      </c>
    </row>
    <row r="30" spans="1:9" x14ac:dyDescent="0.3">
      <c r="A30" s="4">
        <v>28</v>
      </c>
      <c r="F30" s="4" t="s">
        <v>109</v>
      </c>
    </row>
    <row r="31" spans="1:9" x14ac:dyDescent="0.3">
      <c r="A31" s="4">
        <v>29</v>
      </c>
      <c r="F31" s="4" t="s">
        <v>110</v>
      </c>
    </row>
    <row r="32" spans="1:9" x14ac:dyDescent="0.3">
      <c r="A32" s="4">
        <v>30</v>
      </c>
      <c r="F32" s="4" t="s">
        <v>111</v>
      </c>
    </row>
    <row r="33" spans="1:10" x14ac:dyDescent="0.3">
      <c r="A33" s="4">
        <v>31</v>
      </c>
      <c r="F33" s="4" t="s">
        <v>112</v>
      </c>
      <c r="I33" s="4" t="s">
        <v>113</v>
      </c>
    </row>
    <row r="34" spans="1:10" x14ac:dyDescent="0.3">
      <c r="A34" s="4">
        <v>32</v>
      </c>
      <c r="D34" s="4" t="s">
        <v>120</v>
      </c>
      <c r="F34" s="4" t="s">
        <v>115</v>
      </c>
      <c r="H34" s="4" t="s">
        <v>114</v>
      </c>
    </row>
    <row r="35" spans="1:10" x14ac:dyDescent="0.3">
      <c r="A35" s="4">
        <v>33</v>
      </c>
      <c r="F35" s="4" t="s">
        <v>116</v>
      </c>
    </row>
    <row r="36" spans="1:10" x14ac:dyDescent="0.3">
      <c r="A36" s="4">
        <v>34</v>
      </c>
      <c r="F36" s="4" t="s">
        <v>117</v>
      </c>
    </row>
    <row r="37" spans="1:10" x14ac:dyDescent="0.3">
      <c r="A37" s="4">
        <v>35</v>
      </c>
      <c r="H37" s="4" t="s">
        <v>118</v>
      </c>
      <c r="I37" s="4" t="s">
        <v>119</v>
      </c>
    </row>
    <row r="38" spans="1:10" ht="28.8" x14ac:dyDescent="0.3">
      <c r="A38" s="4">
        <v>36</v>
      </c>
      <c r="D38" s="4" t="s">
        <v>121</v>
      </c>
      <c r="H38" s="4" t="s">
        <v>122</v>
      </c>
      <c r="I38" s="4" t="s">
        <v>123</v>
      </c>
    </row>
    <row r="39" spans="1:10" ht="28.8" x14ac:dyDescent="0.3">
      <c r="A39" s="4">
        <v>37</v>
      </c>
      <c r="F39" s="4" t="s">
        <v>125</v>
      </c>
      <c r="H39" s="4" t="s">
        <v>124</v>
      </c>
      <c r="I39" s="4" t="s">
        <v>126</v>
      </c>
    </row>
    <row r="40" spans="1:10" x14ac:dyDescent="0.3">
      <c r="A40" s="4">
        <v>38</v>
      </c>
      <c r="F40" s="4" t="s">
        <v>127</v>
      </c>
      <c r="I40" s="4" t="s">
        <v>128</v>
      </c>
    </row>
    <row r="41" spans="1:10" ht="28.8" x14ac:dyDescent="0.3">
      <c r="A41" s="4">
        <v>39</v>
      </c>
      <c r="F41" s="4" t="s">
        <v>129</v>
      </c>
      <c r="I41" s="4" t="s">
        <v>130</v>
      </c>
    </row>
    <row r="42" spans="1:10" x14ac:dyDescent="0.3">
      <c r="A42" s="4">
        <v>40</v>
      </c>
      <c r="F42" s="4" t="s">
        <v>131</v>
      </c>
    </row>
    <row r="43" spans="1:10" ht="28.8" x14ac:dyDescent="0.3">
      <c r="A43" s="4">
        <v>41</v>
      </c>
      <c r="D43" s="5">
        <v>7.2</v>
      </c>
      <c r="E43" s="5"/>
      <c r="I43" s="5" t="s">
        <v>132</v>
      </c>
      <c r="J43" s="4" t="s">
        <v>134</v>
      </c>
    </row>
    <row r="44" spans="1:10" ht="28.8" x14ac:dyDescent="0.3">
      <c r="A44" s="4">
        <v>42</v>
      </c>
      <c r="D44" s="4">
        <v>7.3</v>
      </c>
      <c r="F44" s="4" t="s">
        <v>133</v>
      </c>
      <c r="I44" s="4" t="s">
        <v>136</v>
      </c>
    </row>
    <row r="45" spans="1:10" x14ac:dyDescent="0.3">
      <c r="A45" s="4">
        <v>43</v>
      </c>
      <c r="F45" s="4" t="s">
        <v>135</v>
      </c>
      <c r="I45" s="5" t="s">
        <v>137</v>
      </c>
    </row>
    <row r="46" spans="1:10" ht="28.8" x14ac:dyDescent="0.3">
      <c r="A46" s="4">
        <v>44</v>
      </c>
      <c r="F46" s="4" t="s">
        <v>138</v>
      </c>
      <c r="I46" s="4" t="s">
        <v>139</v>
      </c>
    </row>
    <row r="47" spans="1:10" x14ac:dyDescent="0.3">
      <c r="A47" s="4">
        <v>45</v>
      </c>
      <c r="F47" s="4" t="s">
        <v>140</v>
      </c>
      <c r="I47" s="4" t="s">
        <v>141</v>
      </c>
    </row>
    <row r="48" spans="1:10" x14ac:dyDescent="0.3">
      <c r="A48" s="4">
        <v>46</v>
      </c>
      <c r="F48" s="4" t="s">
        <v>142</v>
      </c>
      <c r="I48" s="4" t="s">
        <v>143</v>
      </c>
    </row>
    <row r="49" spans="1:10" ht="28.8" x14ac:dyDescent="0.3">
      <c r="A49" s="4">
        <v>47</v>
      </c>
      <c r="F49" s="4" t="s">
        <v>146</v>
      </c>
      <c r="I49" s="4" t="s">
        <v>144</v>
      </c>
      <c r="J49" s="4" t="s">
        <v>147</v>
      </c>
    </row>
    <row r="50" spans="1:10" ht="43.2" x14ac:dyDescent="0.3">
      <c r="A50" s="4">
        <v>48</v>
      </c>
      <c r="F50" s="4" t="s">
        <v>145</v>
      </c>
      <c r="I50" s="4" t="s">
        <v>149</v>
      </c>
      <c r="J50" s="4" t="s">
        <v>148</v>
      </c>
    </row>
    <row r="51" spans="1:10" ht="43.2" x14ac:dyDescent="0.3">
      <c r="A51" s="4">
        <v>49</v>
      </c>
      <c r="D51" s="4" t="s">
        <v>153</v>
      </c>
      <c r="E51" s="4" t="s">
        <v>152</v>
      </c>
      <c r="F51" s="4" t="s">
        <v>150</v>
      </c>
      <c r="H51" s="4" t="s">
        <v>151</v>
      </c>
    </row>
    <row r="52" spans="1:10" ht="43.2" x14ac:dyDescent="0.3">
      <c r="A52" s="4">
        <v>50</v>
      </c>
      <c r="E52" s="4" t="s">
        <v>156</v>
      </c>
      <c r="I52" s="4" t="s">
        <v>155</v>
      </c>
    </row>
    <row r="53" spans="1:10" ht="57.6" x14ac:dyDescent="0.3">
      <c r="A53" s="4">
        <v>51</v>
      </c>
      <c r="E53" s="4" t="s">
        <v>157</v>
      </c>
      <c r="I53" s="4" t="s">
        <v>158</v>
      </c>
    </row>
    <row r="54" spans="1:10" ht="57.6" x14ac:dyDescent="0.3">
      <c r="A54" s="4">
        <v>52</v>
      </c>
      <c r="E54" s="6" t="s">
        <v>159</v>
      </c>
      <c r="H54" s="4" t="s">
        <v>160</v>
      </c>
      <c r="I54" s="4" t="s">
        <v>163</v>
      </c>
    </row>
    <row r="55" spans="1:10" x14ac:dyDescent="0.3">
      <c r="A55" s="4">
        <v>53</v>
      </c>
      <c r="C55" s="6" t="s">
        <v>161</v>
      </c>
      <c r="I55" s="4" t="s">
        <v>162</v>
      </c>
    </row>
    <row r="56" spans="1:10" x14ac:dyDescent="0.3">
      <c r="A56" s="4">
        <v>54</v>
      </c>
      <c r="D56" s="4" t="s">
        <v>165</v>
      </c>
      <c r="F56" s="4" t="s">
        <v>112</v>
      </c>
      <c r="I56" s="4" t="s">
        <v>164</v>
      </c>
    </row>
    <row r="57" spans="1:10" x14ac:dyDescent="0.3">
      <c r="A57" s="4">
        <v>55</v>
      </c>
      <c r="D57" s="7" t="s">
        <v>166</v>
      </c>
      <c r="F57" s="4" t="s">
        <v>168</v>
      </c>
      <c r="I57" s="4" t="s">
        <v>167</v>
      </c>
    </row>
    <row r="58" spans="1:10" x14ac:dyDescent="0.3">
      <c r="A58" s="4">
        <v>56</v>
      </c>
      <c r="F58" s="4" t="s">
        <v>115</v>
      </c>
      <c r="I58" s="4" t="s">
        <v>169</v>
      </c>
    </row>
    <row r="59" spans="1:10" x14ac:dyDescent="0.3">
      <c r="A59" s="4">
        <v>57</v>
      </c>
      <c r="D59" s="4" t="s">
        <v>170</v>
      </c>
    </row>
    <row r="60" spans="1:10" x14ac:dyDescent="0.3">
      <c r="A60" s="4">
        <v>58</v>
      </c>
      <c r="F60" s="4" t="s">
        <v>168</v>
      </c>
      <c r="I60" s="4" t="s">
        <v>172</v>
      </c>
    </row>
    <row r="61" spans="1:10" ht="43.2" x14ac:dyDescent="0.3">
      <c r="A61" s="4">
        <v>59</v>
      </c>
      <c r="D61" s="6" t="s">
        <v>173</v>
      </c>
      <c r="F61" s="4" t="s">
        <v>171</v>
      </c>
      <c r="I61" s="4" t="s">
        <v>174</v>
      </c>
    </row>
    <row r="62" spans="1:10" ht="28.8" x14ac:dyDescent="0.3">
      <c r="A62" s="4">
        <v>60</v>
      </c>
      <c r="F62" s="4" t="s">
        <v>175</v>
      </c>
      <c r="I62" s="4" t="s">
        <v>177</v>
      </c>
    </row>
    <row r="63" spans="1:10" x14ac:dyDescent="0.3">
      <c r="A63" s="4">
        <v>61</v>
      </c>
      <c r="F63" s="4" t="s">
        <v>176</v>
      </c>
      <c r="I63" s="4" t="s">
        <v>45</v>
      </c>
    </row>
    <row r="64" spans="1:10" x14ac:dyDescent="0.3">
      <c r="A64" s="4">
        <v>62</v>
      </c>
      <c r="F64" s="4" t="s">
        <v>115</v>
      </c>
      <c r="I64" s="4" t="s">
        <v>178</v>
      </c>
    </row>
    <row r="65" spans="1:9" x14ac:dyDescent="0.3">
      <c r="A65" s="4">
        <v>63</v>
      </c>
      <c r="F65" s="4" t="s">
        <v>179</v>
      </c>
      <c r="I65" s="4" t="s">
        <v>180</v>
      </c>
    </row>
    <row r="66" spans="1:9" ht="43.2" x14ac:dyDescent="0.3">
      <c r="A66" s="4">
        <v>64</v>
      </c>
      <c r="D66" s="4" t="s">
        <v>181</v>
      </c>
      <c r="I66" s="4" t="s">
        <v>182</v>
      </c>
    </row>
    <row r="67" spans="1:9" x14ac:dyDescent="0.3">
      <c r="A67" s="4">
        <v>65</v>
      </c>
      <c r="F67" s="4" t="s">
        <v>43</v>
      </c>
      <c r="I67" s="4" t="s">
        <v>183</v>
      </c>
    </row>
    <row r="68" spans="1:9" x14ac:dyDescent="0.3">
      <c r="A68" s="4">
        <v>66</v>
      </c>
      <c r="F68" s="4" t="s">
        <v>184</v>
      </c>
      <c r="I68" s="4" t="s">
        <v>187</v>
      </c>
    </row>
    <row r="69" spans="1:9" ht="28.8" x14ac:dyDescent="0.3">
      <c r="A69" s="4">
        <v>67</v>
      </c>
      <c r="F69" s="4" t="s">
        <v>185</v>
      </c>
      <c r="I69" s="4" t="s">
        <v>186</v>
      </c>
    </row>
    <row r="70" spans="1:9" ht="28.8" x14ac:dyDescent="0.3">
      <c r="A70" s="4">
        <v>68</v>
      </c>
      <c r="D70" s="4" t="s">
        <v>194</v>
      </c>
      <c r="F70" s="4" t="s">
        <v>188</v>
      </c>
      <c r="I70" s="4" t="s">
        <v>189</v>
      </c>
    </row>
    <row r="71" spans="1:9" ht="28.8" x14ac:dyDescent="0.3">
      <c r="A71" s="4">
        <v>69</v>
      </c>
      <c r="D71" s="4" t="s">
        <v>190</v>
      </c>
      <c r="H71" s="4" t="s">
        <v>191</v>
      </c>
      <c r="I71" s="9" t="s">
        <v>192</v>
      </c>
    </row>
    <row r="72" spans="1:9" x14ac:dyDescent="0.3">
      <c r="A72" s="4">
        <v>70</v>
      </c>
      <c r="D72" s="4" t="s">
        <v>193</v>
      </c>
    </row>
    <row r="73" spans="1:9" ht="28.8" x14ac:dyDescent="0.3">
      <c r="A73" s="4">
        <v>71</v>
      </c>
      <c r="C73" s="8">
        <v>7.6</v>
      </c>
      <c r="G73" s="4" t="s">
        <v>195</v>
      </c>
      <c r="I73" s="4" t="s">
        <v>196</v>
      </c>
    </row>
    <row r="74" spans="1:9" ht="28.8" x14ac:dyDescent="0.3">
      <c r="A74" s="4">
        <v>72</v>
      </c>
      <c r="C74" s="9">
        <v>7.7</v>
      </c>
      <c r="G74" s="4" t="s">
        <v>197</v>
      </c>
      <c r="I74" s="4" t="s">
        <v>198</v>
      </c>
    </row>
    <row r="75" spans="1:9" ht="43.2" x14ac:dyDescent="0.3">
      <c r="A75" s="4">
        <v>73</v>
      </c>
      <c r="D75" s="4" t="s">
        <v>212</v>
      </c>
      <c r="I75" s="4" t="s">
        <v>199</v>
      </c>
    </row>
    <row r="76" spans="1:9" ht="57.6" x14ac:dyDescent="0.3">
      <c r="A76" s="4">
        <v>74</v>
      </c>
      <c r="H76" s="4" t="s">
        <v>209</v>
      </c>
      <c r="I76" s="9" t="s">
        <v>210</v>
      </c>
    </row>
    <row r="77" spans="1:9" ht="28.8" x14ac:dyDescent="0.3">
      <c r="A77" s="4">
        <v>75</v>
      </c>
      <c r="D77" s="4" t="s">
        <v>211</v>
      </c>
      <c r="I77" s="12" t="s">
        <v>213</v>
      </c>
    </row>
    <row r="78" spans="1:9" ht="28.8" x14ac:dyDescent="0.3">
      <c r="A78" s="4">
        <v>76</v>
      </c>
      <c r="F78" s="4" t="s">
        <v>214</v>
      </c>
      <c r="H78" s="4" t="s">
        <v>226</v>
      </c>
      <c r="I78" s="4" t="s">
        <v>215</v>
      </c>
    </row>
    <row r="79" spans="1:9" x14ac:dyDescent="0.3">
      <c r="A79" s="4">
        <v>77</v>
      </c>
      <c r="H79" s="4" t="s">
        <v>220</v>
      </c>
      <c r="I79" s="4" t="s">
        <v>215</v>
      </c>
    </row>
    <row r="80" spans="1:9" ht="28.8" x14ac:dyDescent="0.3">
      <c r="A80" s="4">
        <v>78</v>
      </c>
      <c r="H80" s="4" t="s">
        <v>224</v>
      </c>
      <c r="I80" s="4" t="s">
        <v>217</v>
      </c>
    </row>
    <row r="81" spans="1:9" x14ac:dyDescent="0.3">
      <c r="A81" s="4">
        <v>79</v>
      </c>
      <c r="F81" s="4" t="s">
        <v>216</v>
      </c>
      <c r="I81" s="4" t="s">
        <v>218</v>
      </c>
    </row>
    <row r="82" spans="1:9" ht="28.8" x14ac:dyDescent="0.3">
      <c r="A82" s="4">
        <v>80</v>
      </c>
      <c r="F82" s="7" t="s">
        <v>223</v>
      </c>
      <c r="H82" s="4" t="s">
        <v>221</v>
      </c>
      <c r="I82" s="13" t="s">
        <v>219</v>
      </c>
    </row>
    <row r="83" spans="1:9" ht="28.8" x14ac:dyDescent="0.3">
      <c r="A83" s="4">
        <v>81</v>
      </c>
      <c r="H83" s="4" t="s">
        <v>227</v>
      </c>
      <c r="I83" s="4" t="s">
        <v>229</v>
      </c>
    </row>
    <row r="84" spans="1:9" x14ac:dyDescent="0.3">
      <c r="A84" s="4">
        <v>82</v>
      </c>
      <c r="F84" s="4" t="s">
        <v>230</v>
      </c>
    </row>
    <row r="85" spans="1:9" x14ac:dyDescent="0.3">
      <c r="A85" s="4">
        <v>83</v>
      </c>
      <c r="F85" s="4" t="s">
        <v>231</v>
      </c>
      <c r="I85" s="4" t="s">
        <v>233</v>
      </c>
    </row>
    <row r="86" spans="1:9" ht="43.2" x14ac:dyDescent="0.3">
      <c r="A86" s="4">
        <v>84</v>
      </c>
      <c r="F86" s="4" t="s">
        <v>234</v>
      </c>
      <c r="G86" s="4" t="s">
        <v>232</v>
      </c>
      <c r="H86" s="4" t="s">
        <v>235</v>
      </c>
    </row>
    <row r="87" spans="1:9" x14ac:dyDescent="0.3">
      <c r="A87" s="4">
        <v>85</v>
      </c>
      <c r="D87" s="4" t="s">
        <v>237</v>
      </c>
    </row>
    <row r="88" spans="1:9" x14ac:dyDescent="0.3">
      <c r="A88" s="4">
        <v>86</v>
      </c>
      <c r="F88" s="4" t="s">
        <v>236</v>
      </c>
      <c r="I88" s="4" t="s">
        <v>228</v>
      </c>
    </row>
    <row r="89" spans="1:9" x14ac:dyDescent="0.3">
      <c r="A89" s="4">
        <v>87</v>
      </c>
      <c r="H89" s="4" t="s">
        <v>238</v>
      </c>
      <c r="I89" s="4" t="s">
        <v>239</v>
      </c>
    </row>
    <row r="90" spans="1:9" x14ac:dyDescent="0.3">
      <c r="A90" s="4">
        <v>88</v>
      </c>
      <c r="G90" s="4" t="s">
        <v>241</v>
      </c>
      <c r="H90" s="4" t="s">
        <v>240</v>
      </c>
    </row>
    <row r="91" spans="1:9" x14ac:dyDescent="0.3">
      <c r="A91" s="4">
        <v>89</v>
      </c>
      <c r="G91" s="4" t="s">
        <v>242</v>
      </c>
    </row>
    <row r="92" spans="1:9" x14ac:dyDescent="0.3">
      <c r="A92" s="4">
        <v>90</v>
      </c>
      <c r="G92" s="4" t="s">
        <v>243</v>
      </c>
    </row>
    <row r="93" spans="1:9" x14ac:dyDescent="0.3">
      <c r="A93" s="4">
        <v>91</v>
      </c>
      <c r="H93" s="4" t="s">
        <v>222</v>
      </c>
    </row>
    <row r="94" spans="1:9" x14ac:dyDescent="0.3">
      <c r="G94" s="4" t="s">
        <v>244</v>
      </c>
    </row>
    <row r="95" spans="1:9" x14ac:dyDescent="0.3">
      <c r="H95" s="4" t="s">
        <v>225</v>
      </c>
    </row>
    <row r="99" spans="3:8" ht="28.8" x14ac:dyDescent="0.3">
      <c r="C99" s="8">
        <v>7.8</v>
      </c>
      <c r="H99" s="8" t="s">
        <v>208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E4F1F-C950-4A27-AF75-D7439B97B581}">
  <dimension ref="A2:Q45"/>
  <sheetViews>
    <sheetView topLeftCell="A16" workbookViewId="0">
      <selection activeCell="W23" sqref="W23"/>
    </sheetView>
  </sheetViews>
  <sheetFormatPr defaultRowHeight="14.4" x14ac:dyDescent="0.3"/>
  <sheetData>
    <row r="2" spans="2:9" x14ac:dyDescent="0.3">
      <c r="B2">
        <v>1</v>
      </c>
      <c r="C2">
        <f t="shared" ref="C2:C9" si="0">B2^2</f>
        <v>1</v>
      </c>
      <c r="D2">
        <f t="shared" ref="D2:D9" si="1">1/C2</f>
        <v>1</v>
      </c>
      <c r="E2">
        <v>253.24</v>
      </c>
      <c r="F2">
        <f>E2/$E$9</f>
        <v>0.38654923450307577</v>
      </c>
    </row>
    <row r="3" spans="2:9" x14ac:dyDescent="0.3">
      <c r="B3">
        <v>1.57</v>
      </c>
      <c r="C3">
        <f t="shared" si="0"/>
        <v>2.4649000000000001</v>
      </c>
      <c r="D3">
        <f t="shared" si="1"/>
        <v>0.4056959714390036</v>
      </c>
      <c r="E3">
        <v>411.95</v>
      </c>
    </row>
    <row r="4" spans="2:9" x14ac:dyDescent="0.3">
      <c r="B4">
        <v>1.62</v>
      </c>
      <c r="C4">
        <f t="shared" si="0"/>
        <v>2.6244000000000005</v>
      </c>
      <c r="D4">
        <f t="shared" si="1"/>
        <v>0.38103947568968138</v>
      </c>
      <c r="E4">
        <v>424.73</v>
      </c>
    </row>
    <row r="5" spans="2:9" x14ac:dyDescent="0.3">
      <c r="B5">
        <v>1.6559999999999999</v>
      </c>
      <c r="C5">
        <f t="shared" si="0"/>
        <v>2.7423359999999999</v>
      </c>
      <c r="D5">
        <f t="shared" si="1"/>
        <v>0.36465261733062615</v>
      </c>
      <c r="E5">
        <v>433.62</v>
      </c>
    </row>
    <row r="6" spans="2:9" x14ac:dyDescent="0.3">
      <c r="B6" s="10">
        <v>1.7969999999999999</v>
      </c>
      <c r="C6">
        <f t="shared" si="0"/>
        <v>3.2292089999999996</v>
      </c>
      <c r="D6">
        <f t="shared" si="1"/>
        <v>0.30967335963698855</v>
      </c>
      <c r="E6">
        <v>465.24</v>
      </c>
    </row>
    <row r="7" spans="2:9" x14ac:dyDescent="0.3">
      <c r="B7">
        <v>1.84</v>
      </c>
      <c r="C7">
        <f t="shared" si="0"/>
        <v>3.3856000000000002</v>
      </c>
      <c r="D7">
        <f t="shared" si="1"/>
        <v>0.29536862003780717</v>
      </c>
      <c r="E7">
        <v>474.38</v>
      </c>
    </row>
    <row r="8" spans="2:9" x14ac:dyDescent="0.3">
      <c r="B8">
        <v>3</v>
      </c>
      <c r="C8">
        <f t="shared" si="0"/>
        <v>9</v>
      </c>
      <c r="D8">
        <f t="shared" si="1"/>
        <v>0.1111111111111111</v>
      </c>
      <c r="E8">
        <v>606.82000000000005</v>
      </c>
      <c r="F8">
        <f>E8/$E$9</f>
        <v>0.92625891044525521</v>
      </c>
      <c r="H8" cm="1">
        <f t="array" ref="H8:I8">LOGEST(E2:E7,D2:D7)</f>
        <v>0.42033082936693472</v>
      </c>
      <c r="I8">
        <v>599.08872447978786</v>
      </c>
    </row>
    <row r="9" spans="2:9" x14ac:dyDescent="0.3">
      <c r="B9">
        <v>5</v>
      </c>
      <c r="C9">
        <f t="shared" si="0"/>
        <v>25</v>
      </c>
      <c r="D9">
        <f t="shared" si="1"/>
        <v>0.04</v>
      </c>
      <c r="E9">
        <v>655.13</v>
      </c>
      <c r="F9">
        <f>E9/$E$9</f>
        <v>1</v>
      </c>
    </row>
    <row r="11" spans="2:9" x14ac:dyDescent="0.3">
      <c r="B11">
        <v>1.7820607373170305</v>
      </c>
      <c r="C11">
        <f>B11^2</f>
        <v>3.1757404714869186</v>
      </c>
      <c r="D11">
        <f>1/C11</f>
        <v>0.3148871921299628</v>
      </c>
      <c r="E11">
        <f>I8*H8^D11</f>
        <v>456.00000740102411</v>
      </c>
    </row>
    <row r="13" spans="2:9" x14ac:dyDescent="0.3">
      <c r="B13">
        <v>1.6557005420069286</v>
      </c>
      <c r="C13">
        <f>B13^2</f>
        <v>2.7413442848020373</v>
      </c>
      <c r="D13">
        <f>1/C13</f>
        <v>0.36478453492470164</v>
      </c>
      <c r="E13">
        <f>654.16*EXP(-0.989*D13)</f>
        <v>456.03979015218101</v>
      </c>
    </row>
    <row r="22" spans="1:5" x14ac:dyDescent="0.3">
      <c r="B22" t="s">
        <v>205</v>
      </c>
    </row>
    <row r="23" spans="1:5" x14ac:dyDescent="0.3">
      <c r="B23" t="s">
        <v>203</v>
      </c>
      <c r="C23" t="s">
        <v>204</v>
      </c>
      <c r="D23" t="s">
        <v>200</v>
      </c>
    </row>
    <row r="24" spans="1:5" x14ac:dyDescent="0.3">
      <c r="A24">
        <v>0</v>
      </c>
      <c r="B24">
        <v>944.52</v>
      </c>
      <c r="C24">
        <v>976.65</v>
      </c>
      <c r="D24">
        <f>LN(B24)</f>
        <v>6.8506768619423593</v>
      </c>
      <c r="E24">
        <f>LN(C24)</f>
        <v>6.8841283483509805</v>
      </c>
    </row>
    <row r="25" spans="1:5" x14ac:dyDescent="0.3">
      <c r="A25">
        <v>2</v>
      </c>
      <c r="B25">
        <v>937.69</v>
      </c>
      <c r="C25">
        <v>975.74</v>
      </c>
      <c r="D25">
        <f t="shared" ref="D25:D32" si="2">LN(B25)</f>
        <v>6.8434194039771183</v>
      </c>
      <c r="E25">
        <f t="shared" ref="E25:E32" si="3">LN(C25)</f>
        <v>6.883196157481434</v>
      </c>
    </row>
    <row r="26" spans="1:5" x14ac:dyDescent="0.3">
      <c r="A26">
        <v>4</v>
      </c>
      <c r="B26">
        <v>935.35</v>
      </c>
      <c r="C26">
        <v>976.6</v>
      </c>
      <c r="D26">
        <f t="shared" si="2"/>
        <v>6.8409207907949137</v>
      </c>
      <c r="E26">
        <f t="shared" si="3"/>
        <v>6.8840771516275598</v>
      </c>
    </row>
    <row r="27" spans="1:5" x14ac:dyDescent="0.3">
      <c r="A27">
        <v>8</v>
      </c>
      <c r="B27">
        <v>930.12</v>
      </c>
      <c r="C27">
        <v>971.42</v>
      </c>
      <c r="D27">
        <f t="shared" si="2"/>
        <v>6.8353136100814202</v>
      </c>
      <c r="E27">
        <f t="shared" si="3"/>
        <v>6.8787589185405453</v>
      </c>
    </row>
    <row r="28" spans="1:5" x14ac:dyDescent="0.3">
      <c r="A28">
        <v>16</v>
      </c>
      <c r="B28">
        <v>879.43</v>
      </c>
      <c r="C28">
        <v>932.35</v>
      </c>
      <c r="D28">
        <f t="shared" si="2"/>
        <v>6.7792739703335858</v>
      </c>
      <c r="E28">
        <f t="shared" si="3"/>
        <v>6.8377082806701024</v>
      </c>
    </row>
    <row r="29" spans="1:5" x14ac:dyDescent="0.3">
      <c r="A29">
        <v>32</v>
      </c>
      <c r="B29">
        <v>698.38</v>
      </c>
      <c r="C29">
        <v>690.54</v>
      </c>
      <c r="D29">
        <f t="shared" si="2"/>
        <v>6.5487633672310421</v>
      </c>
      <c r="E29">
        <f t="shared" si="3"/>
        <v>6.5374739002084548</v>
      </c>
    </row>
    <row r="30" spans="1:5" x14ac:dyDescent="0.3">
      <c r="A30">
        <v>56</v>
      </c>
      <c r="B30">
        <v>252.03</v>
      </c>
      <c r="C30">
        <v>247.76</v>
      </c>
      <c r="D30">
        <f t="shared" si="2"/>
        <v>5.5295481280448655</v>
      </c>
      <c r="E30">
        <f t="shared" si="3"/>
        <v>5.512460535664947</v>
      </c>
    </row>
    <row r="31" spans="1:5" x14ac:dyDescent="0.3">
      <c r="A31">
        <v>72</v>
      </c>
      <c r="B31">
        <v>110.16</v>
      </c>
      <c r="C31">
        <v>115.61</v>
      </c>
      <c r="D31">
        <f t="shared" si="2"/>
        <v>4.7019338544203997</v>
      </c>
      <c r="E31">
        <f t="shared" si="3"/>
        <v>4.7502224576872303</v>
      </c>
    </row>
    <row r="32" spans="1:5" x14ac:dyDescent="0.3">
      <c r="A32">
        <v>128</v>
      </c>
      <c r="B32">
        <v>4.5823</v>
      </c>
      <c r="C32">
        <v>4.1428000000000003</v>
      </c>
      <c r="D32">
        <f t="shared" si="2"/>
        <v>1.5222010554803194</v>
      </c>
      <c r="E32">
        <f t="shared" si="3"/>
        <v>1.4213718877325867</v>
      </c>
    </row>
    <row r="35" spans="1:17" x14ac:dyDescent="0.3">
      <c r="A35" t="s">
        <v>201</v>
      </c>
      <c r="B35" t="s">
        <v>202</v>
      </c>
    </row>
    <row r="36" spans="1:17" x14ac:dyDescent="0.3">
      <c r="A36">
        <v>0.9</v>
      </c>
      <c r="B36">
        <v>975</v>
      </c>
      <c r="D36" cm="1">
        <f t="array" ref="D36:E36">LOGEST(B36:B41,A36:A41)</f>
        <v>14.351712036112724</v>
      </c>
      <c r="E36">
        <v>89.295627373824047</v>
      </c>
    </row>
    <row r="37" spans="1:17" x14ac:dyDescent="0.3">
      <c r="A37">
        <v>0.7</v>
      </c>
      <c r="B37">
        <v>589.41999999999996</v>
      </c>
      <c r="Q37">
        <v>456</v>
      </c>
    </row>
    <row r="38" spans="1:17" x14ac:dyDescent="0.3">
      <c r="A38">
        <v>0.64700000000000002</v>
      </c>
      <c r="B38">
        <v>503</v>
      </c>
      <c r="Q38" t="s">
        <v>206</v>
      </c>
    </row>
    <row r="39" spans="1:17" x14ac:dyDescent="0.3">
      <c r="A39">
        <v>0.63</v>
      </c>
      <c r="B39">
        <v>477</v>
      </c>
      <c r="Q39" t="s">
        <v>207</v>
      </c>
    </row>
    <row r="40" spans="1:17" x14ac:dyDescent="0.3">
      <c r="A40">
        <v>0.62</v>
      </c>
      <c r="B40">
        <v>462</v>
      </c>
    </row>
    <row r="41" spans="1:17" x14ac:dyDescent="0.3">
      <c r="A41" s="11">
        <v>0.61499999999999999</v>
      </c>
      <c r="B41" s="11">
        <v>455</v>
      </c>
    </row>
    <row r="42" spans="1:17" x14ac:dyDescent="0.3">
      <c r="A42">
        <v>0.42</v>
      </c>
      <c r="B42">
        <v>212.19</v>
      </c>
    </row>
    <row r="45" spans="1:17" x14ac:dyDescent="0.3">
      <c r="A45">
        <v>0.63935225868978396</v>
      </c>
      <c r="B45">
        <f>59.298*EXP(3.1906*A45)</f>
        <v>456.00003907160499</v>
      </c>
    </row>
  </sheetData>
  <dataConsolidate link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0D</vt:lpstr>
      <vt:lpstr>3D</vt:lpstr>
      <vt:lpstr>Optical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Konstantinos Kakosimos</dc:creator>
  <cp:lastModifiedBy>Kakosimos, Konstantinos E</cp:lastModifiedBy>
  <dcterms:created xsi:type="dcterms:W3CDTF">2015-06-05T18:19:34Z</dcterms:created>
  <dcterms:modified xsi:type="dcterms:W3CDTF">2025-06-19T04:40:57Z</dcterms:modified>
</cp:coreProperties>
</file>