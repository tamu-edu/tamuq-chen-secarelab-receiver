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R:\kkakosim\github\tamuq-chen-secarelab-receiver\aysha\"/>
    </mc:Choice>
  </mc:AlternateContent>
  <xr:revisionPtr revIDLastSave="0" documentId="13_ncr:1_{21D0A623-EE23-4B04-9243-D0BE180096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D" sheetId="1" r:id="rId1"/>
    <sheet name="3D" sheetId="2" r:id="rId2"/>
    <sheet name="Optic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 a="1"/>
  <c r="D36" i="3" s="1"/>
  <c r="B45" i="3"/>
  <c r="E25" i="3" l="1"/>
  <c r="E26" i="3"/>
  <c r="E27" i="3"/>
  <c r="E28" i="3"/>
  <c r="E29" i="3"/>
  <c r="E30" i="3"/>
  <c r="E31" i="3"/>
  <c r="E32" i="3"/>
  <c r="E24" i="3"/>
  <c r="D25" i="3"/>
  <c r="D26" i="3"/>
  <c r="D27" i="3"/>
  <c r="D28" i="3"/>
  <c r="D29" i="3"/>
  <c r="D30" i="3"/>
  <c r="D31" i="3"/>
  <c r="D32" i="3"/>
  <c r="D24" i="3"/>
  <c r="C2" i="3"/>
  <c r="D2" i="3" s="1"/>
  <c r="F2" i="3"/>
  <c r="C3" i="3"/>
  <c r="D3" i="3" s="1"/>
  <c r="C4" i="3"/>
  <c r="D4" i="3" s="1"/>
  <c r="C5" i="3"/>
  <c r="D5" i="3"/>
  <c r="C6" i="3"/>
  <c r="D6" i="3"/>
  <c r="C7" i="3"/>
  <c r="D7" i="3"/>
  <c r="C8" i="3"/>
  <c r="D8" i="3"/>
  <c r="F8" i="3"/>
  <c r="C9" i="3"/>
  <c r="D9" i="3"/>
  <c r="F9" i="3"/>
  <c r="C11" i="3"/>
  <c r="D11" i="3" s="1"/>
  <c r="C13" i="3"/>
  <c r="D13" i="3"/>
  <c r="E13" i="3" s="1"/>
  <c r="H8" i="3" l="1" a="1"/>
  <c r="H8" i="3" s="1"/>
  <c r="E1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tc={2C9673A5-534D-4FC2-A792-912F01D1091C}</author>
    <author>tc={1195A4A6-AC02-43B0-9B61-6F9ADFAE84CE}</author>
  </authors>
  <commentList>
    <comment ref="B39" authorId="0" shapeId="0" xr:uid="{2C9673A5-534D-4FC2-A792-912F01D1091C}">
      <text>
        <t>[Threaded comment]
Your version of Excel allows you to read this threaded comment; however, any edits to it will get removed if the file is opened in a newer version of Excel. Learn more: https://go.microsoft.com/fwlink/?linkid=870924
Comment:
    10^A</t>
      </text>
    </comment>
    <comment ref="D40" authorId="1" shapeId="0" xr:uid="{1195A4A6-AC02-43B0-9B61-6F9ADFAE84CE}">
      <text>
        <t>[Threaded comment]
Your version of Excel allows you to read this threaded comment; however, any edits to it will get removed if the file is opened in a newer version of Excel. Learn more: https://go.microsoft.com/fwlink/?linkid=870924
Comment:
    10^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<sst xmlns="http://schemas.openxmlformats.org/spreadsheetml/2006/main" count="833" uniqueCount="717">
  <si>
    <t>A</t>
  </si>
  <si>
    <t>B</t>
  </si>
  <si>
    <t>C</t>
  </si>
  <si>
    <t>I all</t>
  </si>
  <si>
    <t>IoA</t>
  </si>
  <si>
    <t>IoB</t>
  </si>
  <si>
    <t>IoC</t>
  </si>
  <si>
    <t>error</t>
  </si>
  <si>
    <t>Comments</t>
  </si>
  <si>
    <t>same</t>
  </si>
  <si>
    <t>Tf same; Tavg A &amp; C ok, B slightly less</t>
  </si>
  <si>
    <t>10min; Tf slight lower, Tavg C ok, A &amp; B slightly less</t>
  </si>
  <si>
    <t>changed limit for A; Tf got lower; Tavg got better</t>
  </si>
  <si>
    <t>Tf worse, Tavg B didn't get better</t>
  </si>
  <si>
    <t>Tf same; Tvag no better change</t>
  </si>
  <si>
    <t>Tf a bit worse; Tavg A &amp; C good, B worse</t>
  </si>
  <si>
    <t>Tf not bad; Tavg very good</t>
  </si>
  <si>
    <t>3b</t>
  </si>
  <si>
    <t>Tavg good same; Tf similar to #8</t>
  </si>
  <si>
    <t>kins</t>
  </si>
  <si>
    <t>1 * 0.078</t>
  </si>
  <si>
    <t>0.8*0.078</t>
  </si>
  <si>
    <t>Tf maybe better but Tavg and profiles not</t>
  </si>
  <si>
    <t>h</t>
  </si>
  <si>
    <t>v6</t>
  </si>
  <si>
    <t>v5</t>
  </si>
  <si>
    <t>good not run</t>
  </si>
  <si>
    <t>Ts</t>
  </si>
  <si>
    <t>T9-T12</t>
  </si>
  <si>
    <t>T8-T12</t>
  </si>
  <si>
    <t>no convergence</t>
  </si>
  <si>
    <t>as close as possible to E67</t>
  </si>
  <si>
    <t>v7</t>
  </si>
  <si>
    <t>temperature appeared too low</t>
  </si>
  <si>
    <t>Raytracing</t>
  </si>
  <si>
    <t>changed power x8 to achieve Power on apperture equal to all other cases</t>
  </si>
  <si>
    <t>profile improved significantly but too high</t>
  </si>
  <si>
    <t>power x4 incase the 1/4 symmetry creates the issues</t>
  </si>
  <si>
    <t>agreement got better not ideal</t>
  </si>
  <si>
    <t>no correction as original E67 without the 0.64</t>
  </si>
  <si>
    <t>Cps x 4</t>
  </si>
  <si>
    <t>too low</t>
  </si>
  <si>
    <t>too high</t>
  </si>
  <si>
    <t>added 4x on Psrc</t>
  </si>
  <si>
    <t>back to Cps</t>
  </si>
  <si>
    <t>repeated x4 on Psrc and 0.64 on Io</t>
  </si>
  <si>
    <t>again to high</t>
  </si>
  <si>
    <t>changed to x2</t>
  </si>
  <si>
    <t>removed 0.64, and changed h_nat=10</t>
  </si>
  <si>
    <t>corrected V0 to qlpm/4 to account for 1/4 symmetry</t>
  </si>
  <si>
    <t>added 0.64, h_nat=1, and 1.87x Psrc to match total absorbed power</t>
  </si>
  <si>
    <t>promising results, T3 very good time series, T-length not bad, pasted pictures to Aysha</t>
  </si>
  <si>
    <t>overal temperature reduced, and profile didn’t get better</t>
  </si>
  <si>
    <t>initial of 3b, 1 min</t>
  </si>
  <si>
    <t>failed</t>
  </si>
  <si>
    <t>broadening C limit didn't help</t>
  </si>
  <si>
    <t>C limit to 30</t>
  </si>
  <si>
    <t>corrected m(qlpm, Tamb) and G flux in Re</t>
  </si>
  <si>
    <t>2. x Psrc</t>
  </si>
  <si>
    <t>not bad, but solid not great, modeled is higher, also very strange behavior for Nu because of Pr</t>
  </si>
  <si>
    <t>changed Pr expressin to fixed Tamb</t>
  </si>
  <si>
    <t>gas slightly lower, solid slight higher</t>
  </si>
  <si>
    <t>gas all lower, gas better but all slightly higher</t>
  </si>
  <si>
    <t>similar</t>
  </si>
  <si>
    <t>Cp</t>
  </si>
  <si>
    <t>scatter plot ok but solid profiles not</t>
  </si>
  <si>
    <t>scatter plot worse and solid profiles not</t>
  </si>
  <si>
    <t>gas scatter and profiles ok, solid not</t>
  </si>
  <si>
    <t>solid profiles better than gas</t>
  </si>
  <si>
    <t>init #26, changed limits of A B C</t>
  </si>
  <si>
    <t>RH</t>
  </si>
  <si>
    <t>change limits for C</t>
  </si>
  <si>
    <t>reworked some of the inputs to be able for non-isothermal flow; poor</t>
  </si>
  <si>
    <t>T9-T10</t>
  </si>
  <si>
    <t>had trouble to repeat #9, deactivated multi-physics for surface radiation</t>
  </si>
  <si>
    <t>same as #9, w 2xPsrc</t>
  </si>
  <si>
    <t>too high temperature</t>
  </si>
  <si>
    <t>1.6Psrc</t>
  </si>
  <si>
    <t>gave a good agreement on the Length Profilel</t>
  </si>
  <si>
    <t>1.4x</t>
  </si>
  <si>
    <t>hnat=10</t>
  </si>
  <si>
    <t>better match but not at all points</t>
  </si>
  <si>
    <t>try to change the front temperature; not much difference</t>
  </si>
  <si>
    <t>changed to E68</t>
  </si>
  <si>
    <t>agreement seems similar, but still with the 1.4x in radiation, gas temperature is higher, although solid's looks ok</t>
  </si>
  <si>
    <t>no factors, just the 0.8 correction</t>
  </si>
  <si>
    <t>changed to E78 because of good 0D agreement</t>
  </si>
  <si>
    <t>conjugated; one-way</t>
  </si>
  <si>
    <t>transient solid is low, gas may end up good but not the solid</t>
  </si>
  <si>
    <t>activated multiphysics surface radiation</t>
  </si>
  <si>
    <t>deactivated</t>
  </si>
  <si>
    <t>Surface - Surface Radiation</t>
  </si>
  <si>
    <t>not working</t>
  </si>
  <si>
    <t>added irradiance from ray tracing</t>
  </si>
  <si>
    <t>not working, making a sorter test</t>
  </si>
  <si>
    <t>enabled diffuse irradiance from Raytracing, but closed heat transfer source</t>
  </si>
  <si>
    <t>lower temperature but works</t>
  </si>
  <si>
    <t>deactivated multiphysics surface-surface radiation and readded raytracing source to heat-transfer</t>
  </si>
  <si>
    <t>deactivated surface-surface radiation and multiphysics</t>
  </si>
  <si>
    <t>not working as expected, there is a final result but not a printout during the solution; had to change the plotting units</t>
  </si>
  <si>
    <t>gas temperature very good, not for the solid</t>
  </si>
  <si>
    <t>re-enabled surface-surface radiation</t>
  </si>
  <si>
    <t>no difference in the results</t>
  </si>
  <si>
    <t>repeated #22</t>
  </si>
  <si>
    <t>slower and significantly lower temperatures, continue without surface-surface radiation</t>
  </si>
  <si>
    <t>x2 k_SiC</t>
  </si>
  <si>
    <t>x1 k_SiC ; 4.4 * Cps</t>
  </si>
  <si>
    <t>back to 1; hnat=1</t>
  </si>
  <si>
    <t>added surface to ambient radiation</t>
  </si>
  <si>
    <t>k insulation 0.05</t>
  </si>
  <si>
    <t>seems to have a big impact</t>
  </si>
  <si>
    <t>removed 0.8 from IoC</t>
  </si>
  <si>
    <t>k insulation 0.078</t>
  </si>
  <si>
    <t>k insulation 0.01</t>
  </si>
  <si>
    <t>various tests, added average exit Tg</t>
  </si>
  <si>
    <t>absorbtivity 0.8</t>
  </si>
  <si>
    <t>gas is almost ok, the rest are high</t>
  </si>
  <si>
    <t>7.1 created a model with insulation</t>
  </si>
  <si>
    <t>7.2 extended the insulation to cover the back side</t>
  </si>
  <si>
    <t>absorbtivity 0.7</t>
  </si>
  <si>
    <t>results are to the same scale, but not capturing the x profile; nor the higher middle temperature</t>
  </si>
  <si>
    <t>absorbtivity 0.75</t>
  </si>
  <si>
    <t>included separate emissivity for insulation; h_nat=20</t>
  </si>
  <si>
    <t>somehow similar to previous</t>
  </si>
  <si>
    <t>increase RH to 0.3 from 0.2</t>
  </si>
  <si>
    <t>T3 follows T10 closer</t>
  </si>
  <si>
    <t>was hardcoded in Cp_air, changed to parameter and RH= 0.2</t>
  </si>
  <si>
    <t>temperatures increased faster, and higher</t>
  </si>
  <si>
    <t>RH=0.6</t>
  </si>
  <si>
    <t>gives good agreement with E67 and E78 after modifying some properties and IoA, missing the temperature in the middle</t>
  </si>
  <si>
    <t>increase the insulation size, and remove the T2 temperature</t>
  </si>
  <si>
    <t>check for finer mesh in solid</t>
  </si>
  <si>
    <t>changed kins to previous 0.078</t>
  </si>
  <si>
    <t>overshoots temperature</t>
  </si>
  <si>
    <t>good aggreement; missing temperature in the middle</t>
  </si>
  <si>
    <t>refined solid mesh to obtain a representative</t>
  </si>
  <si>
    <t>doesn't change the overall picture although it adds some strange "variation" in the solid thermocouples</t>
  </si>
  <si>
    <t>refined more specifically the solid</t>
  </si>
  <si>
    <t>changes the profile drastically!!! Verify</t>
  </si>
  <si>
    <t>reduce IoA to normal</t>
  </si>
  <si>
    <t>quite slow but seems ok</t>
  </si>
  <si>
    <t>temperatures a bit lower than expected</t>
  </si>
  <si>
    <t>refine 2: 11M elements</t>
  </si>
  <si>
    <t>changed the mesh to something more reasonable 1.7M elements</t>
  </si>
  <si>
    <t>activate surface-surface-radiation</t>
  </si>
  <si>
    <t>remove insulation, replace with flux</t>
  </si>
  <si>
    <t>temperature has strange profiles; although values appear reasonable -&gt; return to simpler geometry (no insulation) but denser mesh</t>
  </si>
  <si>
    <t>hnat=20;kins=0.078;RH=60</t>
  </si>
  <si>
    <t>1.15IoA; abs=0.7</t>
  </si>
  <si>
    <t>mesh ref=1; tot=Mesh consists of 2143193 elements. Minimum quality: 0.004245; average quality: 0.4794.</t>
  </si>
  <si>
    <t>7.4 without external insulation, just the receiver</t>
  </si>
  <si>
    <t>mesh</t>
  </si>
  <si>
    <t>almost no difference</t>
  </si>
  <si>
    <t>default: Mesh consists of 498559 elements. Minimum quality: 0.004245; average quality: 0.5303.</t>
  </si>
  <si>
    <t>added Domain 1 in Size and Boundary Layer; Mesh consists of 5361129 elements. Minimum quality: 0.00253; average quality: 0.6235.</t>
  </si>
  <si>
    <t>trends appear the same, although a bit more abrupt</t>
  </si>
  <si>
    <t>-&gt;50
Mesh on domain 1 consists of 460315 elements. Minimum quality: 0.009841; average quality: 0.4185.</t>
  </si>
  <si>
    <t>abs=0.85, I_factor=1.</t>
  </si>
  <si>
    <t>-fully coupled</t>
  </si>
  <si>
    <t>doesn't seem to affect anything</t>
  </si>
  <si>
    <t>slightly higher</t>
  </si>
  <si>
    <t>as in #31, significant impact, Tg slight higher</t>
  </si>
  <si>
    <t>fixed gas centerline a bit</t>
  </si>
  <si>
    <t>Fluid temp to an average T_gas_end</t>
  </si>
  <si>
    <t>front temp increased significantly, continue this direction</t>
  </si>
  <si>
    <t>k insulation 0.07</t>
  </si>
  <si>
    <t>the end slightly closer but not the middle necessary</t>
  </si>
  <si>
    <t>7.5 check again the fully coupled</t>
  </si>
  <si>
    <t>RH=0.4</t>
  </si>
  <si>
    <t>realized that density is not changing</t>
  </si>
  <si>
    <t>-changed density to function rather than from interface, removed Bousinesq</t>
  </si>
  <si>
    <t>slight increased of the temperature, closer to actual values</t>
  </si>
  <si>
    <t>insulation heat distance from 40mm to 50mm</t>
  </si>
  <si>
    <t>RH=0.2</t>
  </si>
  <si>
    <t>better length profile worse time values</t>
  </si>
  <si>
    <t>gas very close, a bit higher, solid not that far</t>
  </si>
  <si>
    <t>distance back to 40mm</t>
  </si>
  <si>
    <t>final ok but not everything else</t>
  </si>
  <si>
    <t>moved the shield forward to check the irradiance, increased the size to block anything outside</t>
  </si>
  <si>
    <t>slight lower, only T8 ok but not profile</t>
  </si>
  <si>
    <t>temperature is lower</t>
  </si>
  <si>
    <t>Cps x 0.5</t>
  </si>
  <si>
    <t>Cps normal, k_s x 2</t>
  </si>
  <si>
    <t>lower differences between the solid pieces, slightly higher for the gas</t>
  </si>
  <si>
    <t>temperature increases steeply for all, not just the gas</t>
  </si>
  <si>
    <t>change to Murno 1997 Properties</t>
  </si>
  <si>
    <t>steady states are almost the same, some lower/higher, T8 higher, the rest lower</t>
  </si>
  <si>
    <t>test for E78</t>
  </si>
  <si>
    <t>I_factor=1 but needs some increase to achieve the 256/abs of the input</t>
  </si>
  <si>
    <t>however T3 is ok but overall all others are higher; probably the I_factor 0.8 (0D) is necessary</t>
  </si>
  <si>
    <t>test for E68</t>
  </si>
  <si>
    <t>test for E67</t>
  </si>
  <si>
    <t>activate surface-surface radiation</t>
  </si>
  <si>
    <t>very very similar to S070, thus not worth the extra computation time</t>
  </si>
  <si>
    <t>deactivated, back to v7.5</t>
  </si>
  <si>
    <t>veriffied deactivating the surface-surface radiation yields the same results</t>
  </si>
  <si>
    <t>no obvious changes in the profiles, T8 and T3 are great but not the inbetween</t>
  </si>
  <si>
    <t>ln(f)</t>
  </si>
  <si>
    <t>reflectivity</t>
  </si>
  <si>
    <t>kw/m2</t>
  </si>
  <si>
    <t>100k</t>
  </si>
  <si>
    <t>1M</t>
  </si>
  <si>
    <t>RAYS</t>
  </si>
  <si>
    <t>1.1*304</t>
  </si>
  <si>
    <t>256*0.8</t>
  </si>
  <si>
    <t>ns scale for raytracing is wrong; total Q 164W for 0.1ns and 224W for 0.1μs
temperatures are now to high, but length profile is great, time profile similar</t>
  </si>
  <si>
    <t>increase again empty space to 1mm</t>
  </si>
  <si>
    <t>reduced empty space at the end to limit velocity at the edge channels to 0.2mm</t>
  </si>
  <si>
    <t>profile slightly different than #74, come back again later to see if it makes a difference</t>
  </si>
  <si>
    <t>h_nat=10</t>
  </si>
  <si>
    <t>still high temperature</t>
  </si>
  <si>
    <t>emis = 0.75</t>
  </si>
  <si>
    <t>less but just a 100 degrees, probably need to change factor again; the difference with T8 and T9 reduced</t>
  </si>
  <si>
    <t>almost no differnce, but temperature slightly increased</t>
  </si>
  <si>
    <t>very low temperatures; interestingly T8 is lower than T9 and T10!!!</t>
  </si>
  <si>
    <t>I_factor = 0.7 (260kw/m2)</t>
  </si>
  <si>
    <t>I_factor = 0.5 (136kW/m2)</t>
  </si>
  <si>
    <t>I_factor = 0.6 (164kW/m2)</t>
  </si>
  <si>
    <t>emis = 0.85 (typo 085)</t>
  </si>
  <si>
    <t>abs = 0.625; I_factor = 0.7 (191kw/m2)</t>
  </si>
  <si>
    <t>as was: abs = 0.85;  I_factor =1.0 (372kw/m2)</t>
  </si>
  <si>
    <t>abs = 0.85; I_factor = 0.5 (186kW/m2)</t>
  </si>
  <si>
    <t>higher temperature</t>
  </si>
  <si>
    <t>temperature closer, still higher; profile as usual; OBVIOUS ERROR emissitivity</t>
  </si>
  <si>
    <t>emis=0.9</t>
  </si>
  <si>
    <t>emis_test</t>
  </si>
  <si>
    <t>flux=root.emis*root.sigma_const*(root.T_amb^4 - T^4 )*A_tot/(A_tot-A_channel*100)</t>
  </si>
  <si>
    <t>profile but not as great as #80, temp lower</t>
  </si>
  <si>
    <t>emis=0.99 as cavity</t>
  </si>
  <si>
    <t>abs=0.625;I_factor=0.7</t>
  </si>
  <si>
    <t>h_nat=20</t>
  </si>
  <si>
    <t>NOT SURE what are the changes??</t>
  </si>
  <si>
    <t>diffuse scattering</t>
  </si>
  <si>
    <t>temperature didn't change much, but diff T8-T9 increased</t>
  </si>
  <si>
    <t>specular</t>
  </si>
  <si>
    <t>flux 5x</t>
  </si>
  <si>
    <t>10x</t>
  </si>
  <si>
    <t>20x</t>
  </si>
  <si>
    <t>25x</t>
  </si>
  <si>
    <t>R=1.7mm; t=0.2mm</t>
  </si>
  <si>
    <t>profiles gets closer to experiments, temp higher</t>
  </si>
  <si>
    <t>Ρ=1.3mm; t=0.6mm</t>
  </si>
  <si>
    <t>T_gas_in=17oC</t>
  </si>
  <si>
    <t>lower temperature but smoother profile than #93, T9 is higher than T8</t>
  </si>
  <si>
    <t>I_factor = 0.5</t>
  </si>
  <si>
    <t>convectives losses T_ext -&gt;T_gas_in was insulation</t>
  </si>
  <si>
    <t>changed settings and duration of RayTracing; max wall interactions 10k</t>
  </si>
  <si>
    <t>lower temperature, length profile appears ok, T8 didn't change much but all others reduced</t>
  </si>
  <si>
    <t>not much change if any</t>
  </si>
  <si>
    <t>fine to extra fine for fluid dynamics -&gt; 320k</t>
  </si>
  <si>
    <t>check mesh 40x smaller vs #7.7 (124k)</t>
  </si>
  <si>
    <t>is 1.1M</t>
  </si>
  <si>
    <t>still faster simulation, similar profiles</t>
  </si>
  <si>
    <t>I_factor = 0.7</t>
  </si>
  <si>
    <t>fast simulation; time profile higher but very nice with T8 &amp; T9 converging; but length too flat and not following expectation</t>
  </si>
  <si>
    <t>bits=10</t>
  </si>
  <si>
    <t>rays and source=1M</t>
  </si>
  <si>
    <t>no obvious difference</t>
  </si>
  <si>
    <t>final T are closer to experiments but profiles are not, light penetrates deeper; ALL T are very close to each other</t>
  </si>
  <si>
    <r>
      <t xml:space="preserve">comsol ray tracing; </t>
    </r>
    <r>
      <rPr>
        <sz val="11"/>
        <color theme="1"/>
        <rFont val="Calibri"/>
        <family val="2"/>
        <charset val="161"/>
        <scheme val="minor"/>
      </rPr>
      <t>I_factor =1.0, abs=0.85</t>
    </r>
    <r>
      <rPr>
        <b/>
        <sz val="11"/>
        <color theme="1"/>
        <rFont val="Calibri"/>
        <family val="2"/>
        <charset val="161"/>
        <scheme val="minor"/>
      </rPr>
      <t>, bits=0; diffuse scattering</t>
    </r>
  </si>
  <si>
    <t>higher temperature but length profiles gets closer to preferred,</t>
  </si>
  <si>
    <t>T8 and T9 behave correctly, final temperature not far away but as good for gas, length profile needs to drop faster, T10 too high</t>
  </si>
  <si>
    <t>back to normal flux #84</t>
  </si>
  <si>
    <t>need to change the specular for the front wall!!! T8 and T9 play as expected, although too much &amp; early. T3 is high but T10 even more, length profile needs to drop as in #103</t>
  </si>
  <si>
    <t>temperature dropped; length profile flatter; T10 and T9 are both higher than T8!!! T3 is still higher but same as in #105</t>
  </si>
  <si>
    <t>RH=0.42</t>
  </si>
  <si>
    <t>temp increased but profile remains the same</t>
  </si>
  <si>
    <t>Cp_s x4</t>
  </si>
  <si>
    <t>bits=-10</t>
  </si>
  <si>
    <t>should be the same with #104</t>
  </si>
  <si>
    <t>Sim ID</t>
  </si>
  <si>
    <t>Comsol Version</t>
  </si>
  <si>
    <t>heat transfer model</t>
  </si>
  <si>
    <t>Input general</t>
  </si>
  <si>
    <t>Heat transfer specific</t>
  </si>
  <si>
    <t>Comment (mostly compared to the previous Sim ID)</t>
  </si>
  <si>
    <t>standard radiation</t>
  </si>
  <si>
    <t>I_factor = 0.45</t>
  </si>
  <si>
    <t>Cp_s normal</t>
  </si>
  <si>
    <t>all temperatures increase slower, gas is close to what should have been but solid is also very slow</t>
  </si>
  <si>
    <t>very flat profile compared to #109</t>
  </si>
  <si>
    <t>almost no change vs #95</t>
  </si>
  <si>
    <t>mesh fine to normal -&gt;569k</t>
  </si>
  <si>
    <t>too low temperature</t>
  </si>
  <si>
    <t>I_factor = 0.6</t>
  </si>
  <si>
    <t>I_factor = 0.55</t>
  </si>
  <si>
    <t>still high</t>
  </si>
  <si>
    <t>RH=0.5</t>
  </si>
  <si>
    <t>temperatures slightly lower but T8/T9 intersection a bit earlier as well, need to reduce more</t>
  </si>
  <si>
    <t>RH=0.65</t>
  </si>
  <si>
    <t>T8/T9 intersect earlier and are lower, T10/T3 are still higher</t>
  </si>
  <si>
    <t>R=1.5mm; t=0.4mm</t>
  </si>
  <si>
    <t>that was it!!! The temp profiles of gas and solid behave as they should; temp are lower but manageable
still requires some manipulation on the properties and I_factor</t>
  </si>
  <si>
    <t>lower temperature, no T8/T9 intersection, T3 great</t>
  </si>
  <si>
    <t>add alumina piece, based on 7.7 #119</t>
  </si>
  <si>
    <t>all temperature higher, no intersection</t>
  </si>
  <si>
    <t>abs=0.85</t>
  </si>
  <si>
    <t>R=1.6mm; t=0.3mm</t>
  </si>
  <si>
    <t>still higher temperatures</t>
  </si>
  <si>
    <t>Alumina diameter to 39mm</t>
  </si>
  <si>
    <t>T8 higher, T9 slower/no intersection, T10/T3 slower but higher at the end</t>
  </si>
  <si>
    <t>same behavior with #124 but higher temperatures</t>
  </si>
  <si>
    <t>standard radiation with 0.99 emissivity</t>
  </si>
  <si>
    <t>change to #104 radiation</t>
  </si>
  <si>
    <t>same behavior with #125 but even higher temperatures, no steady state</t>
  </si>
  <si>
    <t>slightly lower temperatures</t>
  </si>
  <si>
    <t>T8 T9 are higher, rest are similar.</t>
  </si>
  <si>
    <t>temperatures decreased compared to #128, but not sure if decreased more than needed</t>
  </si>
  <si>
    <t>temp reduced, still no intersection</t>
  </si>
  <si>
    <t>added metal end to Alumina</t>
  </si>
  <si>
    <t>Alumina diameter to 29.4mm measured</t>
  </si>
  <si>
    <t>T9, T10, T3 very good much, T8 slightly higher</t>
  </si>
  <si>
    <t>add surface-ambient for back metal</t>
  </si>
  <si>
    <t>RH=0.56</t>
  </si>
  <si>
    <t>k(T) and Cp(T) for alumina</t>
  </si>
  <si>
    <t>Metal: removed convective losses from back, changed side to heat transfer through insulation</t>
  </si>
  <si>
    <t>T9 and T10 are ok, T8 higher, T3 okish, (T3 average was misdefined since #132)</t>
  </si>
  <si>
    <t>very similar results, all good except for T8</t>
  </si>
  <si>
    <t>abs=0.8</t>
  </si>
  <si>
    <t>temperatures dropped a bit</t>
  </si>
  <si>
    <t>seems better</t>
  </si>
  <si>
    <t>RH=0.64</t>
  </si>
  <si>
    <t>was specular reflection</t>
  </si>
  <si>
    <t>temperatures dropped, can increase area or I_factor</t>
  </si>
  <si>
    <t>T8 ok; T9 lower; T10 little lower; T3 almost ok</t>
  </si>
  <si>
    <t>RH=0.55</t>
  </si>
  <si>
    <t>T8 increased a bit</t>
  </si>
  <si>
    <t>temperatures dropped but not that much, but length-profile changed drastically</t>
  </si>
  <si>
    <t>abs_fr=0.625 abs_in=0.85</t>
  </si>
  <si>
    <t>T3 gas ok but solid temperatures lower, length-profile as in #144</t>
  </si>
  <si>
    <t>added a block for gas intake,
got correct dimensions R=1.7, t=0.3, D=20</t>
  </si>
  <si>
    <t>7.10</t>
  </si>
  <si>
    <t>doesn't run at all - momentum issue</t>
  </si>
  <si>
    <t>x</t>
  </si>
  <si>
    <t>same with 7.9 just with the correct dimensions, change locations of thermocouples in the middle not corner of receiver</t>
  </si>
  <si>
    <t>one abs for all, 0.85</t>
  </si>
  <si>
    <t>lower middle temperatures, front and gas are ok</t>
  </si>
  <si>
    <t>retry 7.10</t>
  </si>
  <si>
    <t>visualize additional gas location</t>
  </si>
  <si>
    <t>changed to COMSOL properties</t>
  </si>
  <si>
    <t>small difference if any</t>
  </si>
  <si>
    <t>lower temperatures but not drastic changes/improvement</t>
  </si>
  <si>
    <t>back to Munro</t>
  </si>
  <si>
    <t>Full Reflector as in 7.8</t>
  </si>
  <si>
    <t>too high temperature, stopped</t>
  </si>
  <si>
    <t>worked on mesh to refine the front wall but around 400k for receiver</t>
  </si>
  <si>
    <t>irradiance decreased, come back to verify, temperature of solid tool low, of T3 not that low, time-profile very good</t>
  </si>
  <si>
    <t>I_factor=0.7</t>
  </si>
  <si>
    <t>I_factor=0.8</t>
  </si>
  <si>
    <t>all temperature profiles increased, no intersection T8/T9 as before</t>
  </si>
  <si>
    <t>temperature increased, profile better, but gas also higher, close to intersection</t>
  </si>
  <si>
    <t>T8 and T9 very close to Exp (do not intersect) but T10 and T3 too high</t>
  </si>
  <si>
    <t>lower temperature</t>
  </si>
  <si>
    <t>RH=0.6, Cp_air ~ Cp_dry_air, used ASHRAE formula for vapor pressure</t>
  </si>
  <si>
    <t>wrong estimation of Cp_g with RH</t>
  </si>
  <si>
    <t>T8/T9 difference increased, all Temperatures still higher</t>
  </si>
  <si>
    <t>bits=0; move light 0mm, smoothed source 0.2mm</t>
  </si>
  <si>
    <t>400k primary + 400k secondary; I_factor=0.6, smoothed source 4mm</t>
  </si>
  <si>
    <t>all temperatures are higher, profile not exactly what it would be ideally</t>
  </si>
  <si>
    <r>
      <t xml:space="preserve">reworked to smoothed accumulated boundary source, but solution of heat too slow, </t>
    </r>
    <r>
      <rPr>
        <b/>
        <sz val="11"/>
        <color theme="1"/>
        <rFont val="Calibri"/>
        <family val="2"/>
        <charset val="161"/>
        <scheme val="minor"/>
      </rPr>
      <t>changed to normal</t>
    </r>
  </si>
  <si>
    <t>move light 10mm</t>
  </si>
  <si>
    <t>Raytracing Qp=158kW/m2 but smoothed 54kW/m2, should be like 153</t>
  </si>
  <si>
    <t>seems very close to #155</t>
  </si>
  <si>
    <t>move light 30mm</t>
  </si>
  <si>
    <t>temperature dropped but very little</t>
  </si>
  <si>
    <t>move light -30mm</t>
  </si>
  <si>
    <t>move light 0mm, bits=10</t>
  </si>
  <si>
    <t>irradiance increased Qp=178kW/m2 but smoothed 63kW/m2, all temperatures increasd, but not that much</t>
  </si>
  <si>
    <t>irradiance similar to bits=0  Qp=160kW/m2 but smoothed 54kW/m2</t>
  </si>
  <si>
    <t>4*M_rho to mimic larger mass</t>
  </si>
  <si>
    <t>not signficant change</t>
  </si>
  <si>
    <t>metal radius 40mm</t>
  </si>
  <si>
    <t>T8 ok but all other  too low</t>
  </si>
  <si>
    <t>I_factor=1.0</t>
  </si>
  <si>
    <t>T8/T9 higher T10/T3 lower</t>
  </si>
  <si>
    <t>I_factor=0.9</t>
  </si>
  <si>
    <t>decrease metal thickness=3mm</t>
  </si>
  <si>
    <t>metal radius 30mm</t>
  </si>
  <si>
    <t>T8 still higher, T9 almost ok, T10/T3 lowre</t>
  </si>
  <si>
    <t>metal radius 20mm</t>
  </si>
  <si>
    <t>I_factor=0.85</t>
  </si>
  <si>
    <t>close but not ideal</t>
  </si>
  <si>
    <t>change radius to Al and increase length for the same effect 6mm</t>
  </si>
  <si>
    <t>9mm</t>
  </si>
  <si>
    <t>not drastic change</t>
  </si>
  <si>
    <t>back to 6mm</t>
  </si>
  <si>
    <t>abs=0.9, to bring more energy at the front part</t>
  </si>
  <si>
    <t>T8 T10 T3 very good but not T9</t>
  </si>
  <si>
    <t>I_factor=0.5</t>
  </si>
  <si>
    <t>bits=0</t>
  </si>
  <si>
    <t>I_factor=0.65</t>
  </si>
  <si>
    <t>Good enough but not T9 and without intersection</t>
  </si>
  <si>
    <t>activated hnat=20</t>
  </si>
  <si>
    <t>needs to be to high to make difference on the profile</t>
  </si>
  <si>
    <t>I_factor=1.0, abs_front=0.5</t>
  </si>
  <si>
    <t>abs_front=0.4</t>
  </si>
  <si>
    <t>abs_front=0.3</t>
  </si>
  <si>
    <t>it is not enough to fix T8 T9 intersection, when the temperatures get closer the profiles are becoming slower as well</t>
  </si>
  <si>
    <t>hnat=40</t>
  </si>
  <si>
    <t>not sufficient to alter the profile</t>
  </si>
  <si>
    <t>abs_front=0.85</t>
  </si>
  <si>
    <t>emis_factor5, hnat=10</t>
  </si>
  <si>
    <t>emis_factor=2</t>
  </si>
  <si>
    <t>abs_front=0.85, I_factor=1</t>
  </si>
  <si>
    <t>massive impact</t>
  </si>
  <si>
    <t>time profile is good except for the gas exit temperature, length profile is decent</t>
  </si>
  <si>
    <t>conductive loss end of metal with water cooler -root.M_k*(T-root.T_amb)/(40[mm]) -- REMOVED</t>
  </si>
  <si>
    <t>uncoupled</t>
  </si>
  <si>
    <t>REMOVED</t>
  </si>
  <si>
    <t>as #187</t>
  </si>
  <si>
    <t>Tgas 550K</t>
  </si>
  <si>
    <t>to test contribution of coupled flow, not that faster and noisy,
back to coupled, v7.12</t>
  </si>
  <si>
    <t>coupled</t>
  </si>
  <si>
    <t xml:space="preserve">T8 T9 70-100K less than #189, profiles appear similar to #189, T10 T3 final very close to Exp, </t>
  </si>
  <si>
    <t>had to fix 4 channels, added symetry at the end, but solution explodes</t>
  </si>
  <si>
    <t>emis_factor=1</t>
  </si>
  <si>
    <t>I_factor=1.0,</t>
  </si>
  <si>
    <t>quite lower temperatures, flat length profile, T8 T9 wide gap</t>
  </si>
  <si>
    <t>temperatures are still low, the gap between T8/T9 larger, and T10/T3 too small</t>
  </si>
  <si>
    <t>change to TracePro</t>
  </si>
  <si>
    <t>no sur-surf, Modest Appendix D eq27 (error in function)</t>
  </si>
  <si>
    <t>fixed Modest function</t>
  </si>
  <si>
    <t>CHANGED to TracePro, sec Rays 100k</t>
  </si>
  <si>
    <t>quite high temperatures but profiles seem promising. T8/T9 do not intersect, I was expecting T9 to surpass T8 for such higher temperatures</t>
  </si>
  <si>
    <t>lower but still high temperatures</t>
  </si>
  <si>
    <t>use smoothed boundary source</t>
  </si>
  <si>
    <t>removed A_tot/(A_tot-A_channel*100)</t>
  </si>
  <si>
    <t>expected higher temperatures</t>
  </si>
  <si>
    <t>with a small gap for air to sip in</t>
  </si>
  <si>
    <t>still takes too much time to be solved, canceled</t>
  </si>
  <si>
    <t>slow first flow field, not moving</t>
  </si>
  <si>
    <t xml:space="preserve">gas_exit=0.5mm back of </t>
  </si>
  <si>
    <t>length profile is high but close to the pattern; time profile is not, and all values are too high</t>
  </si>
  <si>
    <t>no gap</t>
  </si>
  <si>
    <t>I_factor=0.5, there was a mixup with the I_factor applied x2, in Ray Tracing and Heat Transfer</t>
  </si>
  <si>
    <t>repeat</t>
  </si>
  <si>
    <t>combined steps</t>
  </si>
  <si>
    <t>I_factor=0.4</t>
  </si>
  <si>
    <t>I_factor=0.3</t>
  </si>
  <si>
    <t>emis=0.99</t>
  </si>
  <si>
    <t>standard boundary source</t>
  </si>
  <si>
    <t>added A_tot/(A_tot-A_channel*100)</t>
  </si>
  <si>
    <t>wrong thermal insulation boundary conditions, not sure since what simulation</t>
  </si>
  <si>
    <t>It seems that after the changes TRACEPRO cannot grab the profile and max temperature at the sime time; probably because of the wrong boundary condition</t>
  </si>
  <si>
    <t>as expected now the temperatures are too low</t>
  </si>
  <si>
    <t>I_factor=0.6</t>
  </si>
  <si>
    <t>still lower</t>
  </si>
  <si>
    <t>stopped early, still lower</t>
  </si>
  <si>
    <t>removed A_tot/(A_tot-A_channel*100); emis=absorb=0.85;</t>
  </si>
  <si>
    <t>T8 higher, no intersection, all other lower, the irradiance seems lower than usual</t>
  </si>
  <si>
    <t>wall interactions 1k-&gt;10k, I_factor=0.8</t>
  </si>
  <si>
    <t>irradiance increased 2x!!!; some double counting with I_factor; temperature two high and very large drop</t>
  </si>
  <si>
    <t>stopped early, still higher, and large drop across length</t>
  </si>
  <si>
    <t>metal radiation temp = T_ins(t); added A_tot/(A_tot-A_channel*100)</t>
  </si>
  <si>
    <t>T10 T3 very good but T8 way off</t>
  </si>
  <si>
    <t>emis_cav=0.85-&gt;0.99</t>
  </si>
  <si>
    <t>all T very good except for T8</t>
  </si>
  <si>
    <t>I_factor=0.55</t>
  </si>
  <si>
    <t>qlpm=12.5</t>
  </si>
  <si>
    <t>emis_factor=2x</t>
  </si>
  <si>
    <t>? Bring it closer without T8 --&gt;needs a bit higher</t>
  </si>
  <si>
    <t>?  #213 -&gt; I_factor=0.58</t>
  </si>
  <si>
    <t>? To check whether the flows were ok, could not be solved because of stability, need to use different boundary conditions</t>
  </si>
  <si>
    <t>emis_factor=4x</t>
  </si>
  <si>
    <t>? To bring T8/T9 behavior -&gt; temperatures high, profiles ok, but  no intersection</t>
  </si>
  <si>
    <t>emis_factor=6x</t>
  </si>
  <si>
    <t>emis_factor=10x</t>
  </si>
  <si>
    <t>T8/T9 intersected but still all higher</t>
  </si>
  <si>
    <t>emis_factor=12x</t>
  </si>
  <si>
    <t>length profile is excellent; time profile could have been better</t>
  </si>
  <si>
    <t>so far E68</t>
  </si>
  <si>
    <t>I_factor=0.9 * 256/456</t>
  </si>
  <si>
    <t>all too high</t>
  </si>
  <si>
    <t>x0.8</t>
  </si>
  <si>
    <t>T10/T3 very good, T8/T9 kind of acceptable</t>
  </si>
  <si>
    <t>change to Raytracing for lower irradiance</t>
  </si>
  <si>
    <t>best could get</t>
  </si>
  <si>
    <t>interesting result, T8/T9 intersect very early, T3/T10 increase faster but very close to steady state</t>
  </si>
  <si>
    <t>change mass flow in, instead of lpm out, added a gap behind, and changed BC to front mass flow, qlpm_total</t>
  </si>
  <si>
    <t>0.5 qlpm_t</t>
  </si>
  <si>
    <t>not good but it gives the feeling that the changing the flow could lead to the actual solution</t>
  </si>
  <si>
    <t>Ε68</t>
  </si>
  <si>
    <t>0.75 qlpm_t</t>
  </si>
  <si>
    <t>removed A_tot/(A_tot-A_channel*100);</t>
  </si>
  <si>
    <t>qlpm_t</t>
  </si>
  <si>
    <t>remove front convection</t>
  </si>
  <si>
    <t>E68</t>
  </si>
  <si>
    <t>ADD the full system, multiple modifications to run momentum (steady state, ambient temperature)</t>
  </si>
  <si>
    <t>T8/T9 intersect but 300K higher, T3 lower 100K</t>
  </si>
  <si>
    <t>steady-state velocity @Tamb</t>
  </si>
  <si>
    <t>velocity x rho(Tamb)/rho(T)</t>
  </si>
  <si>
    <t>T8 100K lower, T9 close steady state, T10 different profile, close steady state, T3 similar to T10</t>
  </si>
  <si>
    <t>spf velocity field</t>
  </si>
  <si>
    <t>back to qlpm</t>
  </si>
  <si>
    <t>T8/T9 too high no intersection, T10/T3 too low</t>
  </si>
  <si>
    <t>transient with momentum coupled</t>
  </si>
  <si>
    <t>quite lower temperatures</t>
  </si>
  <si>
    <t>M_emis=0.8-&gt;0.6</t>
  </si>
  <si>
    <t>seemed almost the same</t>
  </si>
  <si>
    <t>no natural conversion alumina/metal</t>
  </si>
  <si>
    <t>all temperatures slightly increased, mostly T3</t>
  </si>
  <si>
    <t>natural convection metal, not alumina</t>
  </si>
  <si>
    <t>need to decrease losses at the front and increase at the back</t>
  </si>
  <si>
    <t>Al_emis=0.9; M_emis=0.05</t>
  </si>
  <si>
    <t>Al_emis=0.6; M_emis=0.2</t>
  </si>
  <si>
    <t>no radiation alumina, yes convection</t>
  </si>
  <si>
    <t>alumina front insulation</t>
  </si>
  <si>
    <t>re-radiation temp Tgas_in -&gt; Tamb</t>
  </si>
  <si>
    <t>small increase on T9</t>
  </si>
  <si>
    <t>T_amb at the small tube gas exit</t>
  </si>
  <si>
    <t>T3 very close, T10 reduced significantly, T9 still highe than T8</t>
  </si>
  <si>
    <t>change symbol insulation emissivity emis_ins, reradiation Metal back was forgotten</t>
  </si>
  <si>
    <t>decrease insulation Cp 880-&gt;780</t>
  </si>
  <si>
    <t>increase insulation k 0.078-&gt;0.08
increase insulation Cp 780 -&gt; 1080</t>
  </si>
  <si>
    <t>remove irradiance inside cavity</t>
  </si>
  <si>
    <t>some change but probably not sufficient to ignore</t>
  </si>
  <si>
    <t>not sure if there is any impact</t>
  </si>
  <si>
    <t>reactivated irradiance inside cavity</t>
  </si>
  <si>
    <t>allow irradiance front of insulation (too low but activated)</t>
  </si>
  <si>
    <t>change to ray-tracing to increase the front heat</t>
  </si>
  <si>
    <t>T2 insulation is 200K higher, side loss should be more or insulation stronger?</t>
  </si>
  <si>
    <t>increase k_ins -&gt;0.15</t>
  </si>
  <si>
    <t>all temperatures dropped, T8/T9 not so much, internal 50K, insulation temperature still, insulation still high</t>
  </si>
  <si>
    <t>increase more -&gt; 0.3</t>
  </si>
  <si>
    <t>all temperatures dropped</t>
  </si>
  <si>
    <t>all temperatures dropped, Tinsulation still high</t>
  </si>
  <si>
    <t>k_ins=0.08</t>
  </si>
  <si>
    <t>enabled reradiation for insulation</t>
  </si>
  <si>
    <t>add a round shield</t>
  </si>
  <si>
    <t xml:space="preserve">total powre is too high 650W for insulation eveything else &lt;150W, but effect is not massive, </t>
  </si>
  <si>
    <t>Receiver abs=0.9</t>
  </si>
  <si>
    <t>deactivate insulation convection</t>
  </si>
  <si>
    <t>deactivate insulation reradiation, emis_cav=0.99-&gt;emis</t>
  </si>
  <si>
    <t>very small increase on incoming power, small increase on temperatures</t>
  </si>
  <si>
    <t>I_factor=1.05</t>
  </si>
  <si>
    <t>increase insulation Cp 1280 -&gt; 1380</t>
  </si>
  <si>
    <t>increase insulation Cp 1380 -&gt; 1480</t>
  </si>
  <si>
    <t>increase insulation density 0.14-&gt;0.34</t>
  </si>
  <si>
    <t>need to check the velocity simulation</t>
  </si>
  <si>
    <t>decrease input Factor to capture insulation temperature, then alter properties for the rest</t>
  </si>
  <si>
    <t>whatever RayTracing change since #235 e.g absorb couldn't be applied because it was locked on Study 2</t>
  </si>
  <si>
    <t>all temperatures too low, bring properties to original values</t>
  </si>
  <si>
    <t>abs=0.9</t>
  </si>
  <si>
    <t>emis=0.9, emis_ins=0.6, M_emis=0.2</t>
  </si>
  <si>
    <t>cp_ins=880; k_ins=0.08, rho_ins=0.16</t>
  </si>
  <si>
    <t>ISSUE w Raytracing since #235 or #252</t>
  </si>
  <si>
    <t>THE CROSSSECTION OF T8/T9 is a characteristic of the system</t>
  </si>
  <si>
    <t>second laminar for steady state solution qlpm_t</t>
  </si>
  <si>
    <t>qlpm</t>
  </si>
  <si>
    <t>qlpm was qlpm_t</t>
  </si>
  <si>
    <t xml:space="preserve"> qlpm_t</t>
  </si>
  <si>
    <t>very early intersection</t>
  </si>
  <si>
    <t>no intersection or too far away</t>
  </si>
  <si>
    <t>follow properties advised by GPT</t>
  </si>
  <si>
    <t>same with #263 w/ qlpm</t>
  </si>
  <si>
    <t>T8 too high, rest too low</t>
  </si>
  <si>
    <t>CHANGED dimensions of insulation according to measurements</t>
  </si>
  <si>
    <t>all temperatures too low, T8/T9 intersect early as in the previous simulations, but T2 is 70-100K higher.</t>
  </si>
  <si>
    <t>T2 moved to z=D_tot+40</t>
  </si>
  <si>
    <t>I_factor=1.9 (Irradiance measured 456, absorbed 456*0.85, simulated 203)</t>
  </si>
  <si>
    <t>T9 and T3 close enough to Exp, T8/T9 intersection still at the same time, T10 too high, T8 too low</t>
  </si>
  <si>
    <t>T9 higher, T8 lower, T10 higher, T3 lower, T2 higher, T8/T9 intersect at the same place</t>
  </si>
  <si>
    <t>qlpm_t*0.9</t>
  </si>
  <si>
    <t>Returned to TRACEPRO; irradiance 456*0.85</t>
  </si>
  <si>
    <t>T8 steady is ok, all others similar to #267</t>
  </si>
  <si>
    <t>solid temperatures too high, gas too low</t>
  </si>
  <si>
    <t>rearranged boundary conditions</t>
  </si>
  <si>
    <t>T10 very good, T8/T9 very high no interesection, T3 very low</t>
  </si>
  <si>
    <t>qlpm*2</t>
  </si>
  <si>
    <t>stopped too high</t>
  </si>
  <si>
    <t>qlpm*5</t>
  </si>
  <si>
    <t>still high (1500K)</t>
  </si>
  <si>
    <t>qlpm*10</t>
  </si>
  <si>
    <t>higher velocity brings intersection earlier</t>
  </si>
  <si>
    <t>fixed alumina diameter 29.4-&gt;38.8</t>
  </si>
  <si>
    <t>cleaned up input/boundary conditions</t>
  </si>
  <si>
    <t>remove Temperature from last part of the tube</t>
  </si>
  <si>
    <t>need to decrease front losses</t>
  </si>
  <si>
    <t>removed front and back losses</t>
  </si>
  <si>
    <t>absorb0.85, I_factor1.1</t>
  </si>
  <si>
    <t>reinstated losses</t>
  </si>
  <si>
    <t>did not help to increase incoming radiation</t>
  </si>
  <si>
    <t>Cps x2</t>
  </si>
  <si>
    <t>some improvement</t>
  </si>
  <si>
    <t>I_factor 1</t>
  </si>
  <si>
    <t>Cps x4</t>
  </si>
  <si>
    <t>getting better</t>
  </si>
  <si>
    <t>no reradiation front</t>
  </si>
  <si>
    <t>ks x2</t>
  </si>
  <si>
    <t>intersection at the right point, temperatures lower, reduce losses</t>
  </si>
  <si>
    <t>ins_k /3</t>
  </si>
  <si>
    <t>length profile excellent, but time not that great</t>
  </si>
  <si>
    <t>ins_k &amp; ins_cp *1.5</t>
  </si>
  <si>
    <t>almost the same with #281</t>
  </si>
  <si>
    <t>ins_properties back to normal</t>
  </si>
  <si>
    <t>no good</t>
  </si>
  <si>
    <t>I_factor 1.1</t>
  </si>
  <si>
    <t>closer, but still not enough, T1 is surprisignly low</t>
  </si>
  <si>
    <t>qlpm_t; move T1 from D_tot to very closer to the receiver</t>
  </si>
  <si>
    <t>ins_k /10</t>
  </si>
  <si>
    <t>slight increase of temperatures, cross section point moved earlier, Tinsulation at the expected levels</t>
  </si>
  <si>
    <t>ins_cp /5</t>
  </si>
  <si>
    <t>ins_cp normal; Cps normal; ks /4</t>
  </si>
  <si>
    <t>cross section too early, temperatures not good</t>
  </si>
  <si>
    <t>ks normal, Cps x4.5</t>
  </si>
  <si>
    <t>ks /2, Cps x4</t>
  </si>
  <si>
    <t>R_chan 1.65; t_chan 0.35</t>
  </si>
  <si>
    <t>ks x2, Cps x4</t>
  </si>
  <si>
    <t>I_factor 1.2</t>
  </si>
  <si>
    <t>like #285 with higher I_factor; temperture higher, length profile ok, rest like before</t>
  </si>
  <si>
    <t>Cps x3</t>
  </si>
  <si>
    <t>ins_k=0.05 a bit higher than air</t>
  </si>
  <si>
    <t>T3 to center of symmetry</t>
  </si>
  <si>
    <t>all around insulation</t>
  </si>
  <si>
    <t>temperatures (except T2) at the correct level but not steady state</t>
  </si>
  <si>
    <t>add convective and radiative losses</t>
  </si>
  <si>
    <t>ins_cp = 1360 [Wang 2024], ksx3</t>
  </si>
  <si>
    <t>needs abs=0.99 for inner surface</t>
  </si>
  <si>
    <t>no intersectoin, slight decrease of temperatures</t>
  </si>
  <si>
    <t>ks, cps=normal</t>
  </si>
  <si>
    <t>added thin layer 1mm of air around SiC inside alumina adaptor</t>
  </si>
  <si>
    <t>interesting length profile, temporal not that great</t>
  </si>
  <si>
    <t>added thin layer 1mm of air around the whole receiver</t>
  </si>
  <si>
    <t>made it 0.5mm and added another around alumina adaptor</t>
  </si>
  <si>
    <t>ks x2, Cps normal</t>
  </si>
  <si>
    <t>thermal contact 1mm</t>
  </si>
  <si>
    <t>receiver thermal contact 2mm</t>
  </si>
  <si>
    <t>ks x3</t>
  </si>
  <si>
    <t>ks x3  Cps x normal</t>
  </si>
  <si>
    <t>final values kind of ok but not the profiles</t>
  </si>
  <si>
    <t>receiver thermal contact 5mm</t>
  </si>
  <si>
    <t>needs I_factor 1.15</t>
  </si>
  <si>
    <t>lower temperatures</t>
  </si>
  <si>
    <t>still lower temperatures</t>
  </si>
  <si>
    <t>I_factor 1.15</t>
  </si>
  <si>
    <t>perfect match T8/T9, all others only the steady state</t>
  </si>
  <si>
    <t>for E78</t>
  </si>
  <si>
    <t>T8/T9 too high, all others too low</t>
  </si>
  <si>
    <t>kins = 0.0001</t>
  </si>
  <si>
    <t>overall temperatures too low, intersection at the correct time</t>
  </si>
  <si>
    <t>ks &amp;  Cps x normal</t>
  </si>
  <si>
    <t>not a good approach</t>
  </si>
  <si>
    <t>disabled thermal contact</t>
  </si>
  <si>
    <t>kins = 0.001</t>
  </si>
  <si>
    <t>317x</t>
  </si>
  <si>
    <t>kins = 0.01</t>
  </si>
  <si>
    <t>for E68</t>
  </si>
  <si>
    <t>T2 at level, others kind of ok, but temporal profiles not; very low value</t>
  </si>
  <si>
    <t>T8 high all others lower</t>
  </si>
  <si>
    <t>emis_area</t>
  </si>
  <si>
    <t>back to 1, removed cavity reradiation</t>
  </si>
  <si>
    <t>T3 still lower</t>
  </si>
  <si>
    <t>enabled thermal receiver thermal contact</t>
  </si>
  <si>
    <t>T10 increased too high</t>
  </si>
  <si>
    <t>ks*2</t>
  </si>
  <si>
    <t>off</t>
  </si>
  <si>
    <t>Cps x3 ks norm</t>
  </si>
  <si>
    <t>time profile good for gas, higher temperatures for T9</t>
  </si>
  <si>
    <t>MODIFIED to MATCH 3D #324</t>
  </si>
  <si>
    <t>ks*1.5</t>
  </si>
  <si>
    <t>kins = 0.05</t>
  </si>
  <si>
    <t>kins = 0.078</t>
  </si>
  <si>
    <t>Cps norm</t>
  </si>
  <si>
    <t>T9 T10 T11 T12</t>
  </si>
  <si>
    <t>kins = 0.1</t>
  </si>
  <si>
    <t>enabled thermal contacts 1mm</t>
  </si>
  <si>
    <t>Cps  x3</t>
  </si>
  <si>
    <t>remove 40mm resistance with known temperature and added the whole cylinder with ambient temperature</t>
  </si>
  <si>
    <t>ks*3</t>
  </si>
  <si>
    <t>profile of h incorrect</t>
  </si>
  <si>
    <t>thermal contact with fel 3mm</t>
  </si>
  <si>
    <t>ks</t>
  </si>
  <si>
    <t>k affects only Pr calculation</t>
  </si>
  <si>
    <t>very small impact</t>
  </si>
  <si>
    <t>added 3rd solid for insulation+metal, fixed error with boundary condition</t>
  </si>
  <si>
    <t>added 50K on outer boundary</t>
  </si>
  <si>
    <t>good match</t>
  </si>
  <si>
    <t>Cps  x2</t>
  </si>
  <si>
    <t>h betweeb solids to 500, removed</t>
  </si>
  <si>
    <t>Cps -&gt; Munro 2x</t>
  </si>
  <si>
    <t>1x</t>
  </si>
  <si>
    <t>profiles are not good</t>
  </si>
  <si>
    <t>2x</t>
  </si>
  <si>
    <t>corrected rho and cp for insulation+metal</t>
  </si>
  <si>
    <t>added losses from front and back</t>
  </si>
  <si>
    <t>all T avg; failed</t>
  </si>
  <si>
    <t>T9 &amp; T10</t>
  </si>
  <si>
    <t>E78</t>
  </si>
  <si>
    <t>I 0.7 * 0.7</t>
  </si>
  <si>
    <t>T8 T9 T10</t>
  </si>
  <si>
    <t>qlpm low</t>
  </si>
  <si>
    <t>not good</t>
  </si>
  <si>
    <t>E67</t>
  </si>
  <si>
    <t>very good</t>
  </si>
  <si>
    <t>not great profiles</t>
  </si>
  <si>
    <t>fair enough</t>
  </si>
  <si>
    <t>diameter instead of length on h, removed</t>
  </si>
  <si>
    <t>Cps  x2 + ks x2</t>
  </si>
  <si>
    <t>7.16b</t>
  </si>
  <si>
    <t>very good - July conference</t>
  </si>
  <si>
    <t>revert to M97 no scaling</t>
  </si>
  <si>
    <t>M_emis=0.8</t>
  </si>
  <si>
    <t>all three E#</t>
  </si>
  <si>
    <t>removed ThermalContact</t>
  </si>
  <si>
    <t>https://doi.org/10.1016/j.solener.2017.04.002</t>
  </si>
  <si>
    <t>added Rosseland approximation for k_z anisotropic (k_{eff, Z} = k_{SiC}(T) + \frac{16 \cdot \sigma \cdot T^3 \cdot d}{3} ; just R not hydraulic)</t>
  </si>
  <si>
    <t>all I_factors to 1.0</t>
  </si>
  <si>
    <t>activate surface-to-surface radiation</t>
  </si>
  <si>
    <t>boundary layers 2-&gt;6, adj fact 5-&gt;1</t>
  </si>
  <si>
    <t>changed to SS flow</t>
  </si>
  <si>
    <t>ins_cp 1360 -&gt; 2360</t>
  </si>
  <si>
    <t>Rosseland d--&gt; length</t>
  </si>
  <si>
    <t>reduced flow to 80%</t>
  </si>
  <si>
    <t>reduced irradiance to 90%</t>
  </si>
  <si>
    <t xml:space="preserve">converted model to 1.12 </t>
  </si>
  <si>
    <t>and to COMSOL geometry with more thermal masses</t>
  </si>
  <si>
    <t>T9 &amp; T10; removed I_factors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</si>
</sst>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quotePrefix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3" borderId="0" xfId="0" applyFill="1" applyAlignment="1">
      <alignment wrapText="1"/>
    </xf>
    <xf numFmtId="165" fontId="0" fillId="0" borderId="0" xfId="0" applyNumberFormat="1"/>
    <xf numFmtId="0" fontId="0" fillId="3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quotePrefix="1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4" fillId="0" borderId="0" xfId="0" applyFont="1" applyAlignment="1">
      <alignment wrapText="1"/>
    </xf>
    <xf numFmtId="0" fontId="0" fillId="8" borderId="0" xfId="0" applyFill="1" applyAlignment="1">
      <alignment wrapText="1"/>
    </xf>
    <xf numFmtId="0" fontId="0" fillId="4" borderId="0" xfId="0" applyFill="1"/>
    <xf numFmtId="0" fontId="5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7.4031933508311457E-2"/>
                  <c:y val="-0.308065398075240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Optical!$D$2:$D$7</c:f>
              <c:numCache>
                <c:formatCode>General</c:formatCode>
                <c:ptCount val="6"/>
                <c:pt idx="0">
                  <c:v>1</c:v>
                </c:pt>
                <c:pt idx="1">
                  <c:v>0.4056959714390036</c:v>
                </c:pt>
                <c:pt idx="2">
                  <c:v>0.38103947568968138</c:v>
                </c:pt>
                <c:pt idx="3">
                  <c:v>0.36465261733062615</c:v>
                </c:pt>
                <c:pt idx="4">
                  <c:v>0.30967335963698855</c:v>
                </c:pt>
                <c:pt idx="5">
                  <c:v>0.29536862003780717</c:v>
                </c:pt>
              </c:numCache>
            </c:numRef>
          </c:xVal>
          <c:yVal>
            <c:numRef>
              <c:f>Optical!$E$2:$E$7</c:f>
              <c:numCache>
                <c:formatCode>General</c:formatCode>
                <c:ptCount val="6"/>
                <c:pt idx="0">
                  <c:v>253.24</c:v>
                </c:pt>
                <c:pt idx="1">
                  <c:v>411.95</c:v>
                </c:pt>
                <c:pt idx="2">
                  <c:v>424.73</c:v>
                </c:pt>
                <c:pt idx="3">
                  <c:v>433.62</c:v>
                </c:pt>
                <c:pt idx="4">
                  <c:v>465.24</c:v>
                </c:pt>
                <c:pt idx="5">
                  <c:v>474.38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8-4EDE-A032-D1BAC14C2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29712"/>
        <c:axId val="1342330192"/>
      </c:scatterChart>
      <c:valAx>
        <c:axId val="13423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30192"/>
        <c:crosses val="autoZero"/>
        <c:crossBetween val="midCat"/>
      </c:valAx>
      <c:valAx>
        <c:axId val="13423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2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[kw/m2 vs bits]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>
              <a:noFill/>
            </a:ln>
          </c:spPr>
          <c:xVal>
            <c:numRef>
              <c:f>Optical!$A$24:$A$32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56</c:v>
                </c:pt>
                <c:pt idx="7">
                  <c:v>72</c:v>
                </c:pt>
                <c:pt idx="8">
                  <c:v>128</c:v>
                </c:pt>
              </c:numCache>
            </c:numRef>
          </c:xVal>
          <c:yVal>
            <c:numRef>
              <c:f>Optical!$B$24:$B$32</c:f>
              <c:numCache>
                <c:formatCode>General</c:formatCode>
                <c:ptCount val="9"/>
                <c:pt idx="0">
                  <c:v>944.52</c:v>
                </c:pt>
                <c:pt idx="1">
                  <c:v>937.69</c:v>
                </c:pt>
                <c:pt idx="2">
                  <c:v>935.35</c:v>
                </c:pt>
                <c:pt idx="3">
                  <c:v>930.12</c:v>
                </c:pt>
                <c:pt idx="4">
                  <c:v>879.43</c:v>
                </c:pt>
                <c:pt idx="5">
                  <c:v>698.38</c:v>
                </c:pt>
                <c:pt idx="6">
                  <c:v>252.03</c:v>
                </c:pt>
                <c:pt idx="7">
                  <c:v>110.16</c:v>
                </c:pt>
                <c:pt idx="8">
                  <c:v>4.5823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E7-4FEF-B7C5-5CC5A2ED8345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Optical!$A$24:$A$32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56</c:v>
                </c:pt>
                <c:pt idx="7">
                  <c:v>72</c:v>
                </c:pt>
                <c:pt idx="8">
                  <c:v>128</c:v>
                </c:pt>
              </c:numCache>
            </c:numRef>
          </c:xVal>
          <c:yVal>
            <c:numRef>
              <c:f>Optical!$C$24:$C$32</c:f>
              <c:numCache>
                <c:formatCode>General</c:formatCode>
                <c:ptCount val="9"/>
                <c:pt idx="0">
                  <c:v>976.65</c:v>
                </c:pt>
                <c:pt idx="1">
                  <c:v>975.74</c:v>
                </c:pt>
                <c:pt idx="2">
                  <c:v>976.6</c:v>
                </c:pt>
                <c:pt idx="3">
                  <c:v>971.42</c:v>
                </c:pt>
                <c:pt idx="4">
                  <c:v>932.35</c:v>
                </c:pt>
                <c:pt idx="5">
                  <c:v>690.54</c:v>
                </c:pt>
                <c:pt idx="6">
                  <c:v>247.76</c:v>
                </c:pt>
                <c:pt idx="7">
                  <c:v>115.61</c:v>
                </c:pt>
                <c:pt idx="8">
                  <c:v>4.1428000000000003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E7-4FEF-B7C5-5CC5A2ED8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39312"/>
        <c:axId val="1342340752"/>
      </c:scatterChart>
      <c:valAx>
        <c:axId val="13423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40752"/>
        <c:crosses val="autoZero"/>
        <c:crossBetween val="midCat"/>
      </c:valAx>
      <c:valAx>
        <c:axId val="13423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39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xVal>
            <c:numRef>
              <c:f>Optical!$A$24:$A$32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56</c:v>
                </c:pt>
                <c:pt idx="7">
                  <c:v>72</c:v>
                </c:pt>
                <c:pt idx="8">
                  <c:v>128</c:v>
                </c:pt>
              </c:numCache>
            </c:numRef>
          </c:xVal>
          <c:yVal>
            <c:numRef>
              <c:f>Optical!$D$24:$D$32</c:f>
              <c:numCache>
                <c:formatCode>General</c:formatCode>
                <c:ptCount val="9"/>
                <c:pt idx="0">
                  <c:v>6.8506768619423593</c:v>
                </c:pt>
                <c:pt idx="1">
                  <c:v>6.8434194039771183</c:v>
                </c:pt>
                <c:pt idx="2">
                  <c:v>6.8409207907949137</c:v>
                </c:pt>
                <c:pt idx="3">
                  <c:v>6.8353136100814202</c:v>
                </c:pt>
                <c:pt idx="4">
                  <c:v>6.7792739703335858</c:v>
                </c:pt>
                <c:pt idx="5">
                  <c:v>6.5487633672310421</c:v>
                </c:pt>
                <c:pt idx="6">
                  <c:v>5.5295481280448655</c:v>
                </c:pt>
                <c:pt idx="7">
                  <c:v>4.7019338544203997</c:v>
                </c:pt>
                <c:pt idx="8">
                  <c:v>1.5222010554803194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92-4935-9025-60A43A2E143C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7969619422572176"/>
                  <c:y val="-9.53317293671624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Optical!$A$24:$A$32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56</c:v>
                </c:pt>
                <c:pt idx="7">
                  <c:v>72</c:v>
                </c:pt>
                <c:pt idx="8">
                  <c:v>128</c:v>
                </c:pt>
              </c:numCache>
            </c:numRef>
          </c:xVal>
          <c:yVal>
            <c:numRef>
              <c:f>Optical!$E$24:$E$32</c:f>
              <c:numCache>
                <c:formatCode>General</c:formatCode>
                <c:ptCount val="9"/>
                <c:pt idx="0">
                  <c:v>6.8841283483509805</c:v>
                </c:pt>
                <c:pt idx="1">
                  <c:v>6.883196157481434</c:v>
                </c:pt>
                <c:pt idx="2">
                  <c:v>6.8840771516275598</c:v>
                </c:pt>
                <c:pt idx="3">
                  <c:v>6.8787589185405453</c:v>
                </c:pt>
                <c:pt idx="4">
                  <c:v>6.8377082806701024</c:v>
                </c:pt>
                <c:pt idx="5">
                  <c:v>6.5374739002084548</c:v>
                </c:pt>
                <c:pt idx="6">
                  <c:v>5.512460535664947</c:v>
                </c:pt>
                <c:pt idx="7">
                  <c:v>4.7502224576872303</c:v>
                </c:pt>
                <c:pt idx="8">
                  <c:v>1.4213718877325867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92-4935-9025-60A43A2E1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39312"/>
        <c:axId val="1342340752"/>
      </c:scatterChart>
      <c:valAx>
        <c:axId val="13423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40752"/>
        <c:crosses val="autoZero"/>
        <c:crossBetween val="midCat"/>
      </c:valAx>
      <c:valAx>
        <c:axId val="13423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39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Optical!$A$36:$A$41</c:f>
              <c:numCache>
                <c:formatCode>General</c:formatCode>
                <c:ptCount val="6"/>
                <c:pt idx="0">
                  <c:v>0.9</c:v>
                </c:pt>
                <c:pt idx="1">
                  <c:v>0.7</c:v>
                </c:pt>
                <c:pt idx="2">
                  <c:v>0.64700000000000002</c:v>
                </c:pt>
                <c:pt idx="3">
                  <c:v>0.63</c:v>
                </c:pt>
                <c:pt idx="4">
                  <c:v>0.62</c:v>
                </c:pt>
                <c:pt idx="5">
                  <c:v>0.61499999999999999</c:v>
                </c:pt>
              </c:numCache>
            </c:numRef>
          </c:xVal>
          <c:yVal>
            <c:numRef>
              <c:f>Optical!$B$36:$B$41</c:f>
              <c:numCache>
                <c:formatCode>General</c:formatCode>
                <c:ptCount val="6"/>
                <c:pt idx="0">
                  <c:v>975</c:v>
                </c:pt>
                <c:pt idx="1">
                  <c:v>589.41999999999996</c:v>
                </c:pt>
                <c:pt idx="2">
                  <c:v>503</c:v>
                </c:pt>
                <c:pt idx="3">
                  <c:v>477</c:v>
                </c:pt>
                <c:pt idx="4">
                  <c:v>462</c:v>
                </c:pt>
                <c:pt idx="5">
                  <c:v>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D-4D4F-9DB1-8E7BBA0A1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914144"/>
        <c:axId val="1010914624"/>
      </c:scatterChart>
      <c:valAx>
        <c:axId val="101091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14624"/>
        <c:crosses val="autoZero"/>
        <c:crossBetween val="midCat"/>
      </c:valAx>
      <c:valAx>
        <c:axId val="101091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1610715</xdr:colOff>
      <xdr:row>57</xdr:row>
      <xdr:rowOff>149520</xdr:rowOff>
    </xdr:from>
    <xdr:to>
      <xdr:col>7</xdr:col>
      <xdr:colOff>1672950</xdr:colOff>
      <xdr:row>58</xdr:row>
      <xdr:rowOff>33465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FABABE3-794E-B610-149E-35563E1E3149}"/>
                </a:ext>
              </a:extLst>
            </xdr14:cNvPr>
            <xdr14:cNvContentPartPr/>
          </xdr14:nvContentPartPr>
          <xdr14:nvPr macro=""/>
          <xdr14:xfrm>
            <a:off x="12964515" y="17418345"/>
            <a:ext cx="54615" cy="496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FABABE3-794E-B610-149E-35563E1E31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955532" y="17409345"/>
              <a:ext cx="72221" cy="67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320040</xdr:colOff>
      <xdr:row>367</xdr:row>
      <xdr:rowOff>11430</xdr:rowOff>
    </xdr:from>
    <xdr:to>
      <xdr:col>8</xdr:col>
      <xdr:colOff>1028700</xdr:colOff>
      <xdr:row>367</xdr:row>
      <xdr:rowOff>11430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76FBD71-2E3D-C72F-238E-26AFB552FDCE}"/>
            </a:ext>
          </a:extLst>
        </xdr:cNvPr>
        <xdr:cNvCxnSpPr/>
      </xdr:nvCxnSpPr>
      <xdr:spPr>
        <a:xfrm>
          <a:off x="320040" y="106119930"/>
          <a:ext cx="13948410" cy="0"/>
        </a:xfrm>
        <a:prstGeom prst="line">
          <a:avLst/>
        </a:prstGeom>
        <a:ln w="28575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</xdr:row>
      <xdr:rowOff>52387</xdr:rowOff>
    </xdr:from>
    <xdr:to>
      <xdr:col>17</xdr:col>
      <xdr:colOff>419100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5E39A-803E-4783-977D-BCF8C678C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19</xdr:row>
      <xdr:rowOff>42862</xdr:rowOff>
    </xdr:from>
    <xdr:to>
      <xdr:col>12</xdr:col>
      <xdr:colOff>361950</xdr:colOff>
      <xdr:row>33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07687E-D372-8022-4736-BC788A6D1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495300</xdr:colOff>
      <xdr:row>19</xdr:row>
      <xdr:rowOff>19050</xdr:rowOff>
    </xdr:from>
    <xdr:to>
      <xdr:col>20</xdr:col>
      <xdr:colOff>190500</xdr:colOff>
      <xdr:row>33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8DDB3A-0D4A-4790-AFC6-8C16C09D0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381000</xdr:colOff>
      <xdr:row>35</xdr:row>
      <xdr:rowOff>176212</xdr:rowOff>
    </xdr:from>
    <xdr:to>
      <xdr:col>13</xdr:col>
      <xdr:colOff>76200</xdr:colOff>
      <xdr:row>49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31AF09-D5CD-ECAC-6A18-BDD61DAE1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03T10:50:40.1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2 140 2292,'-2'-4'576,"4"-2"-180,1 2-396,3-10-600,0 2-1152</inkml:trace>
  <inkml:trace contextRef="#ctx0" brushRef="#br0" timeOffset="233.91">131 0 4424,'-3'11'8874,"-5"31"-4772,2 8-2336,-5-17-811,9-26-738,0-2-1,0 2 1,1 0-1,-1 2 1,1-2-1,-1 11 1,46-31-5010,-21-4 333,-3-6-2215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Kakosimos, Konstantinos E" id="{276BCB23-7094-4A82-96C4-28630CE0F82D}" userId="S::k.kakosimos@tamu.edu::c3fdba53-c044-412b-a302-30eebab608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9" dT="2025-07-23T05:22:20.02" personId="{276BCB23-7094-4A82-96C4-28630CE0F82D}" id="{2C9673A5-534D-4FC2-A792-912F01D1091C}">
    <text>10^A</text>
  </threadedComment>
  <threadedComment ref="D40" dT="2025-07-23T05:38:31.92" personId="{276BCB23-7094-4A82-96C4-28630CE0F82D}" id="{1195A4A6-AC02-43B0-9B61-6F9ADFAE84CE}">
    <text>10^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1016/j.solener.2017.04.00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74"/>
  <sheetViews>
    <sheetView tabSelected="1" workbookViewId="0">
      <pane ySplit="2" topLeftCell="A45" activePane="bottomLeft" state="frozen"/>
      <selection pane="bottomLeft" activeCell="M76" sqref="M76"/>
    </sheetView>
  </sheetViews>
  <sheetFormatPr defaultRowHeight="15" x14ac:dyDescent="0.25"/>
  <cols>
    <col min="16" max="16" width="46.85546875" bestFit="1" customWidth="1"/>
  </cols>
  <sheetData>
    <row r="2" spans="1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19</v>
      </c>
      <c r="J2" s="1" t="s">
        <v>23</v>
      </c>
      <c r="K2" s="1" t="s">
        <v>27</v>
      </c>
      <c r="L2" s="1" t="s">
        <v>64</v>
      </c>
      <c r="M2" s="1" t="s">
        <v>671</v>
      </c>
      <c r="N2" s="1" t="s">
        <v>70</v>
      </c>
      <c r="O2" s="1" t="s">
        <v>7</v>
      </c>
      <c r="P2" s="1" t="s">
        <v>8</v>
      </c>
    </row>
    <row r="3" spans="1:16" x14ac:dyDescent="0.25">
      <c r="A3">
        <v>1</v>
      </c>
      <c r="B3" s="3">
        <v>1.24017003587548E-3</v>
      </c>
      <c r="C3">
        <v>1.3974854403316901</v>
      </c>
      <c r="D3">
        <v>1.6350743193202899</v>
      </c>
      <c r="E3">
        <v>0.64</v>
      </c>
      <c r="F3">
        <v>1.1000000000000001</v>
      </c>
      <c r="G3">
        <v>1.2</v>
      </c>
      <c r="H3">
        <v>0.8</v>
      </c>
      <c r="I3" t="s">
        <v>20</v>
      </c>
      <c r="J3" t="s">
        <v>24</v>
      </c>
      <c r="K3" t="s">
        <v>28</v>
      </c>
      <c r="L3">
        <v>1</v>
      </c>
      <c r="N3">
        <v>0.4</v>
      </c>
      <c r="O3">
        <v>499.47699999999998</v>
      </c>
      <c r="P3" t="s">
        <v>11</v>
      </c>
    </row>
    <row r="4" spans="1:16" x14ac:dyDescent="0.25">
      <c r="A4">
        <v>2</v>
      </c>
      <c r="B4" s="3">
        <v>9.7997522561352798E-4</v>
      </c>
      <c r="C4">
        <v>1.4059359592048799</v>
      </c>
      <c r="D4">
        <v>2.4349761382305499</v>
      </c>
      <c r="E4">
        <v>0.66</v>
      </c>
      <c r="O4">
        <v>528.26599999999996</v>
      </c>
      <c r="P4" t="s">
        <v>9</v>
      </c>
    </row>
    <row r="5" spans="1:16" x14ac:dyDescent="0.25">
      <c r="A5">
        <v>3</v>
      </c>
      <c r="B5" s="3">
        <v>1.00002800832326E-4</v>
      </c>
      <c r="C5">
        <v>1.3282580903963901</v>
      </c>
      <c r="D5">
        <v>16.077659504854701</v>
      </c>
      <c r="E5">
        <v>0.64</v>
      </c>
      <c r="F5">
        <v>1</v>
      </c>
      <c r="O5">
        <v>473.34</v>
      </c>
      <c r="P5" t="s">
        <v>10</v>
      </c>
    </row>
    <row r="6" spans="1:16" x14ac:dyDescent="0.25">
      <c r="A6">
        <v>4</v>
      </c>
      <c r="B6" s="3">
        <v>3.0774692673678297E-5</v>
      </c>
      <c r="C6">
        <v>1.4802745324312101</v>
      </c>
      <c r="D6">
        <v>19.9517218966303</v>
      </c>
      <c r="G6">
        <v>1.1000000000000001</v>
      </c>
      <c r="P6" t="s">
        <v>12</v>
      </c>
    </row>
    <row r="7" spans="1:16" x14ac:dyDescent="0.25">
      <c r="A7">
        <v>5</v>
      </c>
      <c r="B7" s="3">
        <v>3.1142977666936498E-3</v>
      </c>
      <c r="C7">
        <v>1.2623131975854101</v>
      </c>
      <c r="D7">
        <v>2.7362624606074699E-3</v>
      </c>
      <c r="G7">
        <v>1</v>
      </c>
      <c r="O7">
        <v>604.08600000000001</v>
      </c>
      <c r="P7" t="s">
        <v>13</v>
      </c>
    </row>
    <row r="8" spans="1:16" x14ac:dyDescent="0.25">
      <c r="A8">
        <v>6</v>
      </c>
      <c r="B8" s="3">
        <v>2.7615114875290401E-3</v>
      </c>
      <c r="C8">
        <v>1.2412550503592701</v>
      </c>
      <c r="D8">
        <v>1E-4</v>
      </c>
      <c r="E8">
        <v>0.7</v>
      </c>
      <c r="P8" t="s">
        <v>14</v>
      </c>
    </row>
    <row r="9" spans="1:16" x14ac:dyDescent="0.25">
      <c r="A9">
        <v>7</v>
      </c>
      <c r="B9" s="3">
        <v>3.10648772630206E-3</v>
      </c>
      <c r="C9">
        <v>1.2756696149129301</v>
      </c>
      <c r="D9">
        <v>1E-4</v>
      </c>
      <c r="E9">
        <v>0.63</v>
      </c>
      <c r="P9" t="s">
        <v>15</v>
      </c>
    </row>
    <row r="10" spans="1:16" x14ac:dyDescent="0.25">
      <c r="A10">
        <v>8</v>
      </c>
      <c r="B10" s="3">
        <v>8.6454867421348301E-5</v>
      </c>
      <c r="C10">
        <v>1.64491004515391</v>
      </c>
      <c r="D10">
        <v>12.0217117639568</v>
      </c>
      <c r="G10">
        <v>1.2</v>
      </c>
      <c r="O10">
        <v>500</v>
      </c>
      <c r="P10" t="s">
        <v>16</v>
      </c>
    </row>
    <row r="11" spans="1:16" x14ac:dyDescent="0.25">
      <c r="A11" t="s">
        <v>17</v>
      </c>
      <c r="B11" s="3">
        <v>3.7125021077593002E-4</v>
      </c>
      <c r="C11">
        <v>1.3930651456031</v>
      </c>
      <c r="D11">
        <v>8.3576305806791193</v>
      </c>
      <c r="E11">
        <v>0.64</v>
      </c>
      <c r="O11">
        <v>480</v>
      </c>
      <c r="P11" t="s">
        <v>18</v>
      </c>
    </row>
    <row r="12" spans="1:16" x14ac:dyDescent="0.25">
      <c r="A12">
        <v>9</v>
      </c>
      <c r="B12" s="2">
        <v>2.6620817681730501E-5</v>
      </c>
      <c r="C12">
        <v>1.4175004404023599</v>
      </c>
      <c r="D12">
        <v>19.9997174906579</v>
      </c>
      <c r="I12" t="s">
        <v>21</v>
      </c>
      <c r="O12">
        <v>672</v>
      </c>
      <c r="P12" t="s">
        <v>22</v>
      </c>
    </row>
    <row r="13" spans="1:16" x14ac:dyDescent="0.25">
      <c r="A13">
        <v>10</v>
      </c>
      <c r="J13" t="s">
        <v>25</v>
      </c>
      <c r="P13" t="s">
        <v>26</v>
      </c>
    </row>
    <row r="14" spans="1:16" x14ac:dyDescent="0.25">
      <c r="A14">
        <v>11</v>
      </c>
      <c r="K14" t="s">
        <v>29</v>
      </c>
      <c r="O14">
        <v>25612</v>
      </c>
      <c r="P14" t="s">
        <v>30</v>
      </c>
    </row>
    <row r="15" spans="1:16" x14ac:dyDescent="0.25">
      <c r="A15">
        <v>12</v>
      </c>
      <c r="B15" s="2">
        <v>3.3035945380220997E-5</v>
      </c>
      <c r="C15">
        <v>1.43770025274668</v>
      </c>
      <c r="D15">
        <v>20</v>
      </c>
      <c r="J15" t="s">
        <v>24</v>
      </c>
      <c r="K15" t="s">
        <v>28</v>
      </c>
      <c r="O15">
        <v>469</v>
      </c>
      <c r="P15" t="s">
        <v>53</v>
      </c>
    </row>
    <row r="16" spans="1:16" x14ac:dyDescent="0.25">
      <c r="A16">
        <v>13</v>
      </c>
      <c r="O16" t="s">
        <v>54</v>
      </c>
      <c r="P16" t="s">
        <v>55</v>
      </c>
    </row>
    <row r="17" spans="1:16" x14ac:dyDescent="0.25">
      <c r="A17">
        <v>14</v>
      </c>
      <c r="B17" s="2">
        <v>1.03191509408719E-5</v>
      </c>
      <c r="C17">
        <v>1.4319313285872399</v>
      </c>
      <c r="D17">
        <v>25.984272299692599</v>
      </c>
      <c r="O17">
        <v>465</v>
      </c>
      <c r="P17" t="s">
        <v>56</v>
      </c>
    </row>
    <row r="18" spans="1:16" x14ac:dyDescent="0.25">
      <c r="A18">
        <v>15</v>
      </c>
      <c r="P18" t="s">
        <v>57</v>
      </c>
    </row>
    <row r="19" spans="1:16" x14ac:dyDescent="0.25">
      <c r="A19">
        <v>16</v>
      </c>
      <c r="E19">
        <v>0.84</v>
      </c>
      <c r="O19">
        <v>850</v>
      </c>
      <c r="P19" t="s">
        <v>59</v>
      </c>
    </row>
    <row r="20" spans="1:16" x14ac:dyDescent="0.25">
      <c r="A20">
        <v>17</v>
      </c>
      <c r="P20" t="s">
        <v>60</v>
      </c>
    </row>
    <row r="21" spans="1:16" x14ac:dyDescent="0.25">
      <c r="A21">
        <v>18</v>
      </c>
      <c r="E21">
        <v>0.74</v>
      </c>
      <c r="F21">
        <v>1.1000000000000001</v>
      </c>
      <c r="O21">
        <v>573</v>
      </c>
      <c r="P21" t="s">
        <v>61</v>
      </c>
    </row>
    <row r="22" spans="1:16" x14ac:dyDescent="0.25">
      <c r="A22">
        <v>19</v>
      </c>
      <c r="E22">
        <v>0.64</v>
      </c>
      <c r="O22">
        <v>607</v>
      </c>
      <c r="P22" t="s">
        <v>62</v>
      </c>
    </row>
    <row r="23" spans="1:16" x14ac:dyDescent="0.25">
      <c r="A23">
        <v>20</v>
      </c>
      <c r="B23">
        <v>5.6058995390906102E-4</v>
      </c>
      <c r="C23">
        <v>1.6106589591624401</v>
      </c>
      <c r="D23">
        <v>9.910468968988089E-4</v>
      </c>
      <c r="E23">
        <v>0.7</v>
      </c>
      <c r="O23">
        <v>502</v>
      </c>
      <c r="P23" t="s">
        <v>63</v>
      </c>
    </row>
    <row r="24" spans="1:16" x14ac:dyDescent="0.25">
      <c r="A24">
        <v>21</v>
      </c>
      <c r="B24" s="2">
        <v>1.0024299213338499E-5</v>
      </c>
      <c r="C24">
        <v>2.9323882617891202</v>
      </c>
      <c r="D24">
        <v>1E-4</v>
      </c>
      <c r="L24">
        <v>4.4000000000000004</v>
      </c>
      <c r="O24">
        <v>1641</v>
      </c>
      <c r="P24" t="s">
        <v>65</v>
      </c>
    </row>
    <row r="25" spans="1:16" x14ac:dyDescent="0.25">
      <c r="A25">
        <v>22</v>
      </c>
      <c r="B25" s="2">
        <v>2.0887059774144901E-5</v>
      </c>
      <c r="C25">
        <v>2.5052539496126101</v>
      </c>
      <c r="D25">
        <v>1.8829968719792201E-2</v>
      </c>
      <c r="E25">
        <v>1</v>
      </c>
      <c r="O25">
        <v>1071</v>
      </c>
      <c r="P25" t="s">
        <v>66</v>
      </c>
    </row>
    <row r="26" spans="1:16" x14ac:dyDescent="0.25">
      <c r="A26">
        <v>23</v>
      </c>
      <c r="L26">
        <v>1</v>
      </c>
      <c r="O26">
        <v>1892</v>
      </c>
      <c r="P26" t="s">
        <v>67</v>
      </c>
    </row>
    <row r="27" spans="1:16" x14ac:dyDescent="0.25">
      <c r="A27">
        <v>24</v>
      </c>
      <c r="B27">
        <v>2.1591196456141501E-4</v>
      </c>
      <c r="C27">
        <v>1.7189995203791599</v>
      </c>
      <c r="D27">
        <v>1.20209817420813</v>
      </c>
      <c r="E27">
        <v>0.9</v>
      </c>
      <c r="O27">
        <v>1354</v>
      </c>
    </row>
    <row r="28" spans="1:16" x14ac:dyDescent="0.25">
      <c r="A28">
        <v>25</v>
      </c>
      <c r="B28">
        <v>3.0880065502844102E-4</v>
      </c>
      <c r="C28">
        <v>1.7074022707650001</v>
      </c>
      <c r="D28">
        <v>3.7186641941726502E-4</v>
      </c>
      <c r="E28">
        <v>0.85</v>
      </c>
    </row>
    <row r="29" spans="1:16" x14ac:dyDescent="0.25">
      <c r="A29">
        <v>26</v>
      </c>
      <c r="E29">
        <v>0.7</v>
      </c>
      <c r="O29">
        <v>502</v>
      </c>
      <c r="P29" t="s">
        <v>68</v>
      </c>
    </row>
    <row r="30" spans="1:16" x14ac:dyDescent="0.25">
      <c r="A30">
        <v>27</v>
      </c>
      <c r="B30">
        <v>4.60311808037377E-4</v>
      </c>
      <c r="C30">
        <v>1.66187478217667</v>
      </c>
      <c r="D30">
        <v>1.3738648256894E-4</v>
      </c>
      <c r="O30">
        <v>502</v>
      </c>
      <c r="P30" t="s">
        <v>69</v>
      </c>
    </row>
    <row r="31" spans="1:16" x14ac:dyDescent="0.25">
      <c r="A31">
        <v>28</v>
      </c>
      <c r="B31">
        <v>5.86247778425387E-4</v>
      </c>
      <c r="C31">
        <v>1.6630696101604501</v>
      </c>
      <c r="D31" s="2">
        <v>9.39537377217747E-5</v>
      </c>
      <c r="N31">
        <v>0.6</v>
      </c>
      <c r="O31">
        <v>522</v>
      </c>
    </row>
    <row r="32" spans="1:16" x14ac:dyDescent="0.25">
      <c r="A32">
        <v>29</v>
      </c>
      <c r="O32">
        <v>522</v>
      </c>
      <c r="P32" t="s">
        <v>71</v>
      </c>
    </row>
    <row r="33" spans="1:16" x14ac:dyDescent="0.25">
      <c r="A33">
        <v>30</v>
      </c>
      <c r="B33">
        <v>2.8727643386340098E-4</v>
      </c>
      <c r="C33">
        <v>1.5904189645704501</v>
      </c>
      <c r="D33">
        <v>1.0263197679569199E-4</v>
      </c>
      <c r="N33">
        <v>0</v>
      </c>
      <c r="O33">
        <v>563</v>
      </c>
    </row>
    <row r="34" spans="1:16" x14ac:dyDescent="0.25">
      <c r="A34">
        <v>31</v>
      </c>
      <c r="B34">
        <v>3.0928717643758302E-4</v>
      </c>
      <c r="C34">
        <v>1.5965904733758101</v>
      </c>
      <c r="D34">
        <v>2.4080124471630401E-4</v>
      </c>
      <c r="F34">
        <v>1</v>
      </c>
      <c r="G34">
        <v>1.1000000000000001</v>
      </c>
      <c r="O34">
        <v>461</v>
      </c>
    </row>
    <row r="35" spans="1:16" x14ac:dyDescent="0.25">
      <c r="A35">
        <v>32</v>
      </c>
      <c r="B35">
        <v>2.4681495887314401E-4</v>
      </c>
      <c r="C35">
        <v>1.6624759537039799</v>
      </c>
      <c r="D35">
        <v>1.7341179006468701E-4</v>
      </c>
      <c r="K35" t="s">
        <v>73</v>
      </c>
      <c r="O35">
        <v>482</v>
      </c>
    </row>
    <row r="36" spans="1:16" x14ac:dyDescent="0.25">
      <c r="A36">
        <v>33</v>
      </c>
      <c r="E36">
        <v>0.64</v>
      </c>
      <c r="K36" t="s">
        <v>28</v>
      </c>
      <c r="O36">
        <v>586</v>
      </c>
    </row>
    <row r="37" spans="1:16" x14ac:dyDescent="0.25">
      <c r="A37">
        <v>34</v>
      </c>
      <c r="E37">
        <v>0.75</v>
      </c>
      <c r="O37">
        <v>550</v>
      </c>
    </row>
    <row r="38" spans="1:16" x14ac:dyDescent="0.25">
      <c r="N38">
        <v>0</v>
      </c>
      <c r="P38" s="20" t="s">
        <v>658</v>
      </c>
    </row>
    <row r="39" spans="1:16" x14ac:dyDescent="0.25">
      <c r="A39">
        <v>35</v>
      </c>
      <c r="B39">
        <v>-1.5880535011177801</v>
      </c>
      <c r="C39">
        <v>0.65091494933399197</v>
      </c>
      <c r="D39">
        <v>3.6666969736259901E-2</v>
      </c>
      <c r="E39">
        <v>1</v>
      </c>
      <c r="H39">
        <v>0.7</v>
      </c>
      <c r="I39">
        <v>7.8E-2</v>
      </c>
      <c r="O39">
        <v>1140</v>
      </c>
      <c r="P39" t="s">
        <v>663</v>
      </c>
    </row>
    <row r="40" spans="1:16" x14ac:dyDescent="0.25">
      <c r="A40">
        <v>36</v>
      </c>
      <c r="B40">
        <v>-1.62557011221157</v>
      </c>
      <c r="C40">
        <v>0.64353970719628895</v>
      </c>
      <c r="D40">
        <v>-5</v>
      </c>
      <c r="L40">
        <v>3</v>
      </c>
      <c r="O40">
        <v>975</v>
      </c>
      <c r="P40" t="s">
        <v>667</v>
      </c>
    </row>
    <row r="41" spans="1:16" x14ac:dyDescent="0.25">
      <c r="A41">
        <v>37</v>
      </c>
      <c r="L41">
        <v>1</v>
      </c>
      <c r="O41">
        <v>1140</v>
      </c>
      <c r="P41" t="s">
        <v>669</v>
      </c>
    </row>
    <row r="42" spans="1:16" x14ac:dyDescent="0.25">
      <c r="A42">
        <v>38</v>
      </c>
      <c r="B42">
        <v>-1.62633085814944</v>
      </c>
      <c r="C42">
        <v>0.64384726379398405</v>
      </c>
      <c r="D42">
        <v>-4.2152141852378398</v>
      </c>
      <c r="E42">
        <v>1.2</v>
      </c>
      <c r="M42">
        <v>3</v>
      </c>
      <c r="O42">
        <v>975</v>
      </c>
      <c r="P42" t="s">
        <v>672</v>
      </c>
    </row>
    <row r="43" spans="1:16" x14ac:dyDescent="0.25">
      <c r="A43">
        <v>39</v>
      </c>
      <c r="B43">
        <v>-1.62557011221157</v>
      </c>
      <c r="C43">
        <v>0.64353970719628895</v>
      </c>
      <c r="D43">
        <v>-5</v>
      </c>
      <c r="E43">
        <v>1</v>
      </c>
      <c r="L43">
        <v>3</v>
      </c>
      <c r="M43">
        <v>1</v>
      </c>
      <c r="O43">
        <v>975</v>
      </c>
    </row>
    <row r="44" spans="1:16" x14ac:dyDescent="0.25">
      <c r="A44">
        <v>40</v>
      </c>
      <c r="B44">
        <v>-0.21738961927643199</v>
      </c>
      <c r="C44">
        <v>0.224136849475497</v>
      </c>
      <c r="D44">
        <v>-4.38627582837346</v>
      </c>
      <c r="E44">
        <v>1</v>
      </c>
      <c r="O44">
        <v>1496</v>
      </c>
      <c r="P44" t="s">
        <v>674</v>
      </c>
    </row>
    <row r="45" spans="1:16" x14ac:dyDescent="0.25">
      <c r="A45">
        <v>41</v>
      </c>
      <c r="B45">
        <v>-0.120453173998853</v>
      </c>
      <c r="C45">
        <v>8.2527627411642504E-2</v>
      </c>
      <c r="D45">
        <v>-5</v>
      </c>
      <c r="E45">
        <v>0.7</v>
      </c>
      <c r="O45">
        <v>1027</v>
      </c>
    </row>
    <row r="46" spans="1:16" x14ac:dyDescent="0.25">
      <c r="A46">
        <v>42</v>
      </c>
      <c r="B46">
        <v>-6.3694404355623402E-2</v>
      </c>
      <c r="C46">
        <v>6.9338798965457998E-2</v>
      </c>
      <c r="D46">
        <v>-3.66322327238499</v>
      </c>
      <c r="L46">
        <v>2</v>
      </c>
      <c r="O46">
        <v>999</v>
      </c>
    </row>
    <row r="47" spans="1:16" x14ac:dyDescent="0.25">
      <c r="A47">
        <v>43</v>
      </c>
      <c r="B47">
        <v>-5.6187532274797197E-2</v>
      </c>
      <c r="C47">
        <v>6.7192097637876202E-2</v>
      </c>
      <c r="D47">
        <v>-3.85853069192695</v>
      </c>
      <c r="O47">
        <v>999</v>
      </c>
      <c r="P47" t="s">
        <v>675</v>
      </c>
    </row>
    <row r="48" spans="1:16" x14ac:dyDescent="0.25">
      <c r="B48">
        <v>-0.59913658322029595</v>
      </c>
      <c r="C48">
        <v>0.23267951536977999</v>
      </c>
      <c r="D48">
        <v>-4.54729113095385</v>
      </c>
      <c r="O48">
        <v>1050</v>
      </c>
      <c r="P48" t="s">
        <v>678</v>
      </c>
    </row>
    <row r="49" spans="2:16" x14ac:dyDescent="0.25">
      <c r="B49">
        <v>-3.0218416280894E-2</v>
      </c>
      <c r="C49">
        <v>5.6553370855678999E-2</v>
      </c>
      <c r="D49">
        <v>-5</v>
      </c>
      <c r="L49" t="s">
        <v>679</v>
      </c>
      <c r="O49">
        <v>996</v>
      </c>
    </row>
    <row r="50" spans="2:16" x14ac:dyDescent="0.25">
      <c r="B50">
        <v>2.32366143478863</v>
      </c>
      <c r="C50">
        <v>5.2381129172708499E-2</v>
      </c>
      <c r="D50">
        <v>1.15176621671389</v>
      </c>
      <c r="L50" t="s">
        <v>680</v>
      </c>
      <c r="O50">
        <v>1195</v>
      </c>
      <c r="P50" t="s">
        <v>681</v>
      </c>
    </row>
    <row r="51" spans="2:16" x14ac:dyDescent="0.25">
      <c r="B51">
        <v>-0.11531413827813</v>
      </c>
      <c r="C51">
        <v>0.110780162848843</v>
      </c>
      <c r="D51">
        <v>-5</v>
      </c>
      <c r="F51">
        <v>1.1499999999999999</v>
      </c>
      <c r="L51" t="s">
        <v>682</v>
      </c>
      <c r="O51">
        <v>1049</v>
      </c>
    </row>
    <row r="52" spans="2:16" x14ac:dyDescent="0.25">
      <c r="B52">
        <v>-5.9825795140801101E-2</v>
      </c>
      <c r="C52">
        <v>8.3298389397967201E-2</v>
      </c>
      <c r="D52">
        <v>-4.7822766948941098</v>
      </c>
      <c r="F52">
        <v>1.1000000000000001</v>
      </c>
      <c r="O52">
        <v>1016</v>
      </c>
    </row>
    <row r="53" spans="2:16" x14ac:dyDescent="0.25">
      <c r="B53">
        <v>0.163215104178386</v>
      </c>
      <c r="C53">
        <v>0.110019492778361</v>
      </c>
      <c r="D53">
        <v>-5</v>
      </c>
      <c r="E53">
        <v>1</v>
      </c>
      <c r="O53">
        <v>1882</v>
      </c>
    </row>
    <row r="54" spans="2:16" x14ac:dyDescent="0.25">
      <c r="B54">
        <v>0.16620523432742201</v>
      </c>
      <c r="C54">
        <v>0.10949611407786</v>
      </c>
      <c r="D54">
        <v>-1.95188474207697</v>
      </c>
      <c r="O54">
        <v>1880</v>
      </c>
      <c r="P54" t="s">
        <v>683</v>
      </c>
    </row>
    <row r="55" spans="2:16" x14ac:dyDescent="0.25">
      <c r="B55">
        <v>0.113337590003834</v>
      </c>
      <c r="C55">
        <v>0.113912815280584</v>
      </c>
      <c r="D55">
        <v>-3.17711423761659</v>
      </c>
      <c r="F55">
        <v>1</v>
      </c>
      <c r="O55">
        <v>1692</v>
      </c>
    </row>
    <row r="56" spans="2:16" x14ac:dyDescent="0.25">
      <c r="B56">
        <v>0.115547627813837</v>
      </c>
      <c r="C56">
        <v>0.113073002583607</v>
      </c>
      <c r="D56">
        <v>-4.5277566109866303</v>
      </c>
      <c r="O56">
        <v>1692</v>
      </c>
      <c r="P56" t="s">
        <v>684</v>
      </c>
    </row>
    <row r="57" spans="2:16" x14ac:dyDescent="0.25">
      <c r="B57">
        <v>-3.3149389346669902E-2</v>
      </c>
      <c r="C57">
        <v>5.74856315526577E-2</v>
      </c>
      <c r="D57">
        <v>-5</v>
      </c>
      <c r="E57">
        <v>0.7</v>
      </c>
      <c r="O57">
        <v>996</v>
      </c>
    </row>
    <row r="58" spans="2:16" x14ac:dyDescent="0.25">
      <c r="E58">
        <v>1</v>
      </c>
      <c r="P58" t="s">
        <v>685</v>
      </c>
    </row>
    <row r="59" spans="2:16" x14ac:dyDescent="0.25">
      <c r="B59">
        <v>0.250054010925023</v>
      </c>
      <c r="C59">
        <v>9.0017378931107103E-2</v>
      </c>
      <c r="D59">
        <v>-3.5197283757326399</v>
      </c>
      <c r="O59">
        <v>1746</v>
      </c>
      <c r="P59" t="s">
        <v>686</v>
      </c>
    </row>
    <row r="60" spans="2:16" x14ac:dyDescent="0.25">
      <c r="B60">
        <v>-1.44059076725918</v>
      </c>
      <c r="C60">
        <v>0.67522154899549303</v>
      </c>
      <c r="D60">
        <v>-4.8807740743608301</v>
      </c>
      <c r="O60">
        <v>1574</v>
      </c>
      <c r="P60" t="s">
        <v>689</v>
      </c>
    </row>
    <row r="61" spans="2:16" x14ac:dyDescent="0.25">
      <c r="B61">
        <v>-1.21144890336943</v>
      </c>
      <c r="C61">
        <v>0.594262978875436</v>
      </c>
      <c r="D61">
        <v>-5</v>
      </c>
      <c r="H61">
        <v>1</v>
      </c>
      <c r="O61">
        <v>2108</v>
      </c>
    </row>
    <row r="62" spans="2:16" x14ac:dyDescent="0.25">
      <c r="B62">
        <v>-1.2070813277479999</v>
      </c>
      <c r="C62">
        <v>0.49223109727618702</v>
      </c>
      <c r="D62">
        <v>-5</v>
      </c>
      <c r="E62">
        <v>0.7</v>
      </c>
      <c r="H62">
        <v>0.7</v>
      </c>
      <c r="O62">
        <v>1309</v>
      </c>
    </row>
    <row r="63" spans="2:16" x14ac:dyDescent="0.25">
      <c r="B63">
        <v>-1.0012021396300801</v>
      </c>
      <c r="C63">
        <v>0.40143186621960603</v>
      </c>
      <c r="D63">
        <v>-5</v>
      </c>
      <c r="O63">
        <v>994</v>
      </c>
    </row>
    <row r="64" spans="2:16" x14ac:dyDescent="0.25">
      <c r="B64">
        <v>-4.4248727373665302</v>
      </c>
      <c r="C64">
        <v>2.0054297178263898</v>
      </c>
      <c r="D64">
        <v>-0.92802622567503801</v>
      </c>
      <c r="O64">
        <v>1528</v>
      </c>
      <c r="P64" t="s">
        <v>690</v>
      </c>
    </row>
    <row r="65" spans="2:16" x14ac:dyDescent="0.25">
      <c r="B65">
        <v>-1.0608132419307801</v>
      </c>
      <c r="C65">
        <v>0.415984490245218</v>
      </c>
      <c r="D65">
        <v>-4.9695269901766101</v>
      </c>
      <c r="L65" t="s">
        <v>682</v>
      </c>
      <c r="O65">
        <v>1167</v>
      </c>
      <c r="P65" t="s">
        <v>694</v>
      </c>
    </row>
    <row r="66" spans="2:16" x14ac:dyDescent="0.25">
      <c r="B66">
        <v>-1.1261289140861099</v>
      </c>
      <c r="C66">
        <v>0.47186731215250699</v>
      </c>
      <c r="D66">
        <v>-4.5038498068435002</v>
      </c>
      <c r="F66">
        <v>1.1499999999999999</v>
      </c>
      <c r="O66">
        <v>1002</v>
      </c>
      <c r="P66" t="s">
        <v>695</v>
      </c>
    </row>
    <row r="67" spans="2:16" x14ac:dyDescent="0.25">
      <c r="B67">
        <v>-1.2035253749880399</v>
      </c>
      <c r="C67">
        <v>0.49275278422355101</v>
      </c>
      <c r="D67">
        <v>-4.83529833670908</v>
      </c>
      <c r="O67">
        <v>1121</v>
      </c>
    </row>
    <row r="68" spans="2:16" x14ac:dyDescent="0.25">
      <c r="B68">
        <v>-1.44395477402174</v>
      </c>
      <c r="C68">
        <v>0.49278508137217503</v>
      </c>
      <c r="D68">
        <v>-4.59924882828237</v>
      </c>
      <c r="O68">
        <v>1121</v>
      </c>
      <c r="P68" t="s">
        <v>696</v>
      </c>
    </row>
    <row r="69" spans="2:16" s="11" customFormat="1" x14ac:dyDescent="0.25"/>
    <row r="70" spans="2:16" x14ac:dyDescent="0.25">
      <c r="B70">
        <v>-1.2038</v>
      </c>
      <c r="C70">
        <v>0.4929</v>
      </c>
      <c r="D70">
        <v>-4.9325999999999999</v>
      </c>
      <c r="P70" t="s">
        <v>714</v>
      </c>
    </row>
    <row r="71" spans="2:16" x14ac:dyDescent="0.25">
      <c r="B71">
        <v>-0.70223850678134803</v>
      </c>
      <c r="C71">
        <v>0.25645673662077101</v>
      </c>
      <c r="D71">
        <v>-4.9512972108205302</v>
      </c>
      <c r="P71" t="s">
        <v>715</v>
      </c>
    </row>
    <row r="72" spans="2:16" x14ac:dyDescent="0.25">
      <c r="E72">
        <v>1</v>
      </c>
      <c r="F72">
        <v>1</v>
      </c>
      <c r="G72">
        <v>1</v>
      </c>
      <c r="H72">
        <v>1</v>
      </c>
      <c r="O72">
        <v>1147</v>
      </c>
      <c r="P72" t="s">
        <v>716</v>
      </c>
    </row>
    <row r="73" spans="2:16" x14ac:dyDescent="0.25">
      <c r="F73">
        <v>1.1499999999999999</v>
      </c>
      <c r="G73">
        <v>1</v>
      </c>
      <c r="H73">
        <v>0.7</v>
      </c>
      <c r="O73">
        <v>1165</v>
      </c>
    </row>
    <row r="74" spans="2:16" x14ac:dyDescent="0.25">
      <c r="H74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9FA9-A01B-4042-9995-5A31C36523E9}">
  <dimension ref="A2:J384"/>
  <sheetViews>
    <sheetView zoomScaleNormal="100" workbookViewId="0">
      <pane xSplit="1" ySplit="2" topLeftCell="B350" activePane="bottomRight" state="frozen"/>
      <selection pane="topRight" activeCell="B1" sqref="B1"/>
      <selection pane="bottomLeft" activeCell="A3" sqref="A3"/>
      <selection pane="bottomRight" activeCell="F372" sqref="F372"/>
    </sheetView>
  </sheetViews>
  <sheetFormatPr defaultColWidth="9.140625" defaultRowHeight="15" x14ac:dyDescent="0.25"/>
  <cols>
    <col min="1" max="2" width="9.140625" style="4"/>
    <col min="3" max="3" width="9.7109375" style="4" customWidth="1"/>
    <col min="4" max="4" width="33.28515625" style="4" customWidth="1"/>
    <col min="5" max="5" width="37.42578125" style="4" customWidth="1"/>
    <col min="6" max="8" width="33.28515625" style="4" customWidth="1"/>
    <col min="9" max="9" width="55.140625" style="4" customWidth="1"/>
    <col min="10" max="10" width="29.85546875" style="4" customWidth="1"/>
    <col min="11" max="16384" width="9.140625" style="4"/>
  </cols>
  <sheetData>
    <row r="2" spans="1:9" ht="45" x14ac:dyDescent="0.25">
      <c r="A2" s="4" t="s">
        <v>270</v>
      </c>
      <c r="B2" s="4" t="s">
        <v>271</v>
      </c>
      <c r="C2" s="4" t="s">
        <v>272</v>
      </c>
      <c r="D2" s="4" t="s">
        <v>273</v>
      </c>
      <c r="E2" s="4" t="s">
        <v>151</v>
      </c>
      <c r="F2" s="4" t="s">
        <v>274</v>
      </c>
      <c r="G2" s="4" t="s">
        <v>91</v>
      </c>
      <c r="H2" s="4" t="s">
        <v>34</v>
      </c>
      <c r="I2" s="4" t="s">
        <v>275</v>
      </c>
    </row>
    <row r="3" spans="1:9" ht="45" x14ac:dyDescent="0.25">
      <c r="A3" s="4">
        <v>1</v>
      </c>
      <c r="B3" s="4" t="s">
        <v>32</v>
      </c>
      <c r="C3" s="4" t="s">
        <v>87</v>
      </c>
      <c r="D3" s="4" t="s">
        <v>31</v>
      </c>
      <c r="I3" s="4" t="s">
        <v>33</v>
      </c>
    </row>
    <row r="4" spans="1:9" ht="45" x14ac:dyDescent="0.25">
      <c r="A4" s="4">
        <v>2</v>
      </c>
      <c r="H4" s="4" t="s">
        <v>35</v>
      </c>
      <c r="I4" s="4" t="s">
        <v>36</v>
      </c>
    </row>
    <row r="5" spans="1:9" ht="30" x14ac:dyDescent="0.25">
      <c r="A5" s="4">
        <v>3</v>
      </c>
      <c r="H5" s="4" t="s">
        <v>37</v>
      </c>
      <c r="I5" s="4" t="s">
        <v>38</v>
      </c>
    </row>
    <row r="6" spans="1:9" ht="30" x14ac:dyDescent="0.25">
      <c r="A6" s="4">
        <v>4</v>
      </c>
      <c r="F6" s="4" t="s">
        <v>40</v>
      </c>
      <c r="H6" s="4" t="s">
        <v>39</v>
      </c>
      <c r="I6" s="4" t="s">
        <v>41</v>
      </c>
    </row>
    <row r="7" spans="1:9" x14ac:dyDescent="0.25">
      <c r="A7" s="4">
        <v>5</v>
      </c>
      <c r="H7" s="4" t="s">
        <v>43</v>
      </c>
      <c r="I7" s="4" t="s">
        <v>42</v>
      </c>
    </row>
    <row r="8" spans="1:9" x14ac:dyDescent="0.25">
      <c r="A8" s="4">
        <v>6</v>
      </c>
      <c r="F8" s="4" t="s">
        <v>44</v>
      </c>
      <c r="H8" s="4" t="s">
        <v>45</v>
      </c>
      <c r="I8" s="4" t="s">
        <v>46</v>
      </c>
    </row>
    <row r="9" spans="1:9" x14ac:dyDescent="0.25">
      <c r="A9" s="4">
        <v>7</v>
      </c>
      <c r="H9" s="4" t="s">
        <v>47</v>
      </c>
      <c r="I9" s="4" t="s">
        <v>41</v>
      </c>
    </row>
    <row r="10" spans="1:9" ht="30" x14ac:dyDescent="0.25">
      <c r="A10" s="4">
        <v>8</v>
      </c>
      <c r="H10" s="4" t="s">
        <v>48</v>
      </c>
    </row>
    <row r="11" spans="1:9" ht="30" x14ac:dyDescent="0.25">
      <c r="A11" s="4">
        <v>9</v>
      </c>
      <c r="D11" s="4" t="s">
        <v>49</v>
      </c>
      <c r="H11" s="4" t="s">
        <v>50</v>
      </c>
      <c r="I11" s="4" t="s">
        <v>51</v>
      </c>
    </row>
    <row r="12" spans="1:9" x14ac:dyDescent="0.25">
      <c r="A12" s="4">
        <v>10</v>
      </c>
      <c r="F12" s="4" t="s">
        <v>40</v>
      </c>
      <c r="I12" s="4" t="s">
        <v>52</v>
      </c>
    </row>
    <row r="13" spans="1:9" x14ac:dyDescent="0.25">
      <c r="A13" s="4">
        <v>11</v>
      </c>
      <c r="F13" s="4" t="s">
        <v>44</v>
      </c>
    </row>
    <row r="14" spans="1:9" ht="30" x14ac:dyDescent="0.25">
      <c r="A14" s="4">
        <v>12</v>
      </c>
      <c r="H14" s="4" t="s">
        <v>58</v>
      </c>
      <c r="I14" s="4" t="s">
        <v>72</v>
      </c>
    </row>
    <row r="15" spans="1:9" ht="30" x14ac:dyDescent="0.25">
      <c r="A15" s="4">
        <v>13</v>
      </c>
      <c r="G15" s="4" t="s">
        <v>90</v>
      </c>
      <c r="I15" s="4" t="s">
        <v>74</v>
      </c>
    </row>
    <row r="16" spans="1:9" x14ac:dyDescent="0.25">
      <c r="A16" s="4">
        <v>14</v>
      </c>
      <c r="H16" s="4" t="s">
        <v>75</v>
      </c>
      <c r="I16" s="4" t="s">
        <v>76</v>
      </c>
    </row>
    <row r="17" spans="1:9" x14ac:dyDescent="0.25">
      <c r="A17" s="4">
        <v>15</v>
      </c>
      <c r="H17" s="4" t="s">
        <v>77</v>
      </c>
      <c r="I17" s="4" t="s">
        <v>78</v>
      </c>
    </row>
    <row r="18" spans="1:9" x14ac:dyDescent="0.25">
      <c r="A18" s="4">
        <v>16</v>
      </c>
      <c r="H18" s="4" t="s">
        <v>79</v>
      </c>
      <c r="I18" s="4" t="s">
        <v>81</v>
      </c>
    </row>
    <row r="19" spans="1:9" x14ac:dyDescent="0.25">
      <c r="A19" s="4">
        <v>17</v>
      </c>
      <c r="F19" s="4" t="s">
        <v>80</v>
      </c>
      <c r="I19" s="4" t="s">
        <v>82</v>
      </c>
    </row>
    <row r="20" spans="1:9" ht="45" x14ac:dyDescent="0.25">
      <c r="A20" s="4">
        <v>18</v>
      </c>
      <c r="D20" s="4" t="s">
        <v>83</v>
      </c>
      <c r="I20" s="4" t="s">
        <v>84</v>
      </c>
    </row>
    <row r="21" spans="1:9" ht="30" x14ac:dyDescent="0.25">
      <c r="A21" s="4">
        <v>19</v>
      </c>
      <c r="D21" s="4" t="s">
        <v>86</v>
      </c>
      <c r="H21" s="4" t="s">
        <v>85</v>
      </c>
      <c r="I21" s="4" t="s">
        <v>88</v>
      </c>
    </row>
    <row r="22" spans="1:9" ht="30" x14ac:dyDescent="0.25">
      <c r="A22" s="4">
        <v>20</v>
      </c>
      <c r="G22" s="4" t="s">
        <v>89</v>
      </c>
      <c r="I22" s="4" t="s">
        <v>92</v>
      </c>
    </row>
    <row r="23" spans="1:9" x14ac:dyDescent="0.25">
      <c r="A23" s="4">
        <v>21</v>
      </c>
      <c r="G23" s="4" t="s">
        <v>93</v>
      </c>
      <c r="I23" s="4" t="s">
        <v>94</v>
      </c>
    </row>
    <row r="24" spans="1:9" ht="45" x14ac:dyDescent="0.25">
      <c r="A24" s="4">
        <v>22</v>
      </c>
      <c r="G24" s="4" t="s">
        <v>95</v>
      </c>
      <c r="I24" s="4" t="s">
        <v>96</v>
      </c>
    </row>
    <row r="25" spans="1:9" ht="45" x14ac:dyDescent="0.25">
      <c r="A25" s="4">
        <v>23</v>
      </c>
      <c r="G25" s="4" t="s">
        <v>98</v>
      </c>
      <c r="I25" s="4" t="s">
        <v>99</v>
      </c>
    </row>
    <row r="26" spans="1:9" ht="45" x14ac:dyDescent="0.25">
      <c r="A26" s="4">
        <v>24</v>
      </c>
      <c r="G26" s="4" t="s">
        <v>97</v>
      </c>
      <c r="I26" s="4" t="s">
        <v>100</v>
      </c>
    </row>
    <row r="27" spans="1:9" ht="30" x14ac:dyDescent="0.25">
      <c r="A27" s="4">
        <v>25</v>
      </c>
      <c r="G27" s="4" t="s">
        <v>101</v>
      </c>
      <c r="I27" s="4" t="s">
        <v>102</v>
      </c>
    </row>
    <row r="28" spans="1:9" ht="30" x14ac:dyDescent="0.25">
      <c r="A28" s="4">
        <v>26</v>
      </c>
      <c r="G28" s="4" t="s">
        <v>103</v>
      </c>
      <c r="I28" s="4" t="s">
        <v>104</v>
      </c>
    </row>
    <row r="29" spans="1:9" ht="30" x14ac:dyDescent="0.25">
      <c r="A29" s="4">
        <v>27</v>
      </c>
      <c r="F29" s="4" t="s">
        <v>105</v>
      </c>
      <c r="G29" s="4" t="s">
        <v>98</v>
      </c>
    </row>
    <row r="30" spans="1:9" x14ac:dyDescent="0.25">
      <c r="A30" s="4">
        <v>28</v>
      </c>
      <c r="F30" s="4" t="s">
        <v>106</v>
      </c>
    </row>
    <row r="31" spans="1:9" x14ac:dyDescent="0.25">
      <c r="A31" s="4">
        <v>29</v>
      </c>
      <c r="F31" s="4" t="s">
        <v>107</v>
      </c>
    </row>
    <row r="32" spans="1:9" x14ac:dyDescent="0.25">
      <c r="A32" s="4">
        <v>30</v>
      </c>
      <c r="F32" s="4" t="s">
        <v>108</v>
      </c>
    </row>
    <row r="33" spans="1:10" x14ac:dyDescent="0.25">
      <c r="A33" s="4">
        <v>31</v>
      </c>
      <c r="F33" s="4" t="s">
        <v>109</v>
      </c>
      <c r="I33" s="4" t="s">
        <v>110</v>
      </c>
    </row>
    <row r="34" spans="1:10" x14ac:dyDescent="0.25">
      <c r="A34" s="4">
        <v>32</v>
      </c>
      <c r="D34" s="4" t="s">
        <v>117</v>
      </c>
      <c r="F34" s="4" t="s">
        <v>112</v>
      </c>
      <c r="H34" s="4" t="s">
        <v>111</v>
      </c>
    </row>
    <row r="35" spans="1:10" x14ac:dyDescent="0.25">
      <c r="A35" s="4">
        <v>33</v>
      </c>
      <c r="F35" s="4" t="s">
        <v>113</v>
      </c>
    </row>
    <row r="36" spans="1:10" x14ac:dyDescent="0.25">
      <c r="A36" s="4">
        <v>34</v>
      </c>
      <c r="F36" s="4" t="s">
        <v>114</v>
      </c>
    </row>
    <row r="37" spans="1:10" x14ac:dyDescent="0.25">
      <c r="A37" s="4">
        <v>35</v>
      </c>
      <c r="H37" s="4" t="s">
        <v>115</v>
      </c>
      <c r="I37" s="4" t="s">
        <v>116</v>
      </c>
    </row>
    <row r="38" spans="1:10" ht="30" x14ac:dyDescent="0.25">
      <c r="A38" s="4">
        <v>36</v>
      </c>
      <c r="D38" s="4" t="s">
        <v>118</v>
      </c>
      <c r="H38" s="4" t="s">
        <v>119</v>
      </c>
      <c r="I38" s="4" t="s">
        <v>120</v>
      </c>
    </row>
    <row r="39" spans="1:10" ht="30" x14ac:dyDescent="0.25">
      <c r="A39" s="4">
        <v>37</v>
      </c>
      <c r="F39" s="4" t="s">
        <v>122</v>
      </c>
      <c r="H39" s="4" t="s">
        <v>121</v>
      </c>
      <c r="I39" s="4" t="s">
        <v>123</v>
      </c>
    </row>
    <row r="40" spans="1:10" x14ac:dyDescent="0.25">
      <c r="A40" s="4">
        <v>38</v>
      </c>
      <c r="F40" s="4" t="s">
        <v>124</v>
      </c>
      <c r="I40" s="4" t="s">
        <v>125</v>
      </c>
    </row>
    <row r="41" spans="1:10" ht="30" x14ac:dyDescent="0.25">
      <c r="A41" s="4">
        <v>39</v>
      </c>
      <c r="F41" s="4" t="s">
        <v>126</v>
      </c>
      <c r="I41" s="4" t="s">
        <v>127</v>
      </c>
    </row>
    <row r="42" spans="1:10" x14ac:dyDescent="0.25">
      <c r="A42" s="4">
        <v>40</v>
      </c>
      <c r="F42" s="4" t="s">
        <v>128</v>
      </c>
    </row>
    <row r="43" spans="1:10" ht="45" x14ac:dyDescent="0.25">
      <c r="A43" s="4">
        <v>41</v>
      </c>
      <c r="D43" s="5">
        <v>7.2</v>
      </c>
      <c r="E43" s="5"/>
      <c r="I43" s="5" t="s">
        <v>129</v>
      </c>
      <c r="J43" s="4" t="s">
        <v>131</v>
      </c>
    </row>
    <row r="44" spans="1:10" ht="30" x14ac:dyDescent="0.25">
      <c r="A44" s="4">
        <v>42</v>
      </c>
      <c r="D44" s="4">
        <v>7.3</v>
      </c>
      <c r="F44" s="4" t="s">
        <v>130</v>
      </c>
      <c r="I44" s="4" t="s">
        <v>133</v>
      </c>
    </row>
    <row r="45" spans="1:10" x14ac:dyDescent="0.25">
      <c r="A45" s="4">
        <v>43</v>
      </c>
      <c r="F45" s="4" t="s">
        <v>132</v>
      </c>
      <c r="I45" s="5" t="s">
        <v>134</v>
      </c>
    </row>
    <row r="46" spans="1:10" ht="30" x14ac:dyDescent="0.25">
      <c r="A46" s="4">
        <v>44</v>
      </c>
      <c r="F46" s="4" t="s">
        <v>135</v>
      </c>
      <c r="I46" s="4" t="s">
        <v>136</v>
      </c>
    </row>
    <row r="47" spans="1:10" x14ac:dyDescent="0.25">
      <c r="A47" s="4">
        <v>45</v>
      </c>
      <c r="F47" s="4" t="s">
        <v>137</v>
      </c>
      <c r="I47" s="4" t="s">
        <v>138</v>
      </c>
    </row>
    <row r="48" spans="1:10" x14ac:dyDescent="0.25">
      <c r="A48" s="4">
        <v>46</v>
      </c>
      <c r="F48" s="4" t="s">
        <v>139</v>
      </c>
      <c r="I48" s="4" t="s">
        <v>140</v>
      </c>
    </row>
    <row r="49" spans="1:10" ht="30" x14ac:dyDescent="0.25">
      <c r="A49" s="4">
        <v>47</v>
      </c>
      <c r="F49" s="4" t="s">
        <v>143</v>
      </c>
      <c r="I49" s="4" t="s">
        <v>141</v>
      </c>
      <c r="J49" s="4" t="s">
        <v>144</v>
      </c>
    </row>
    <row r="50" spans="1:10" ht="45" x14ac:dyDescent="0.25">
      <c r="A50" s="4">
        <v>48</v>
      </c>
      <c r="F50" s="4" t="s">
        <v>142</v>
      </c>
      <c r="I50" s="4" t="s">
        <v>146</v>
      </c>
      <c r="J50" s="4" t="s">
        <v>145</v>
      </c>
    </row>
    <row r="51" spans="1:10" ht="45" x14ac:dyDescent="0.25">
      <c r="A51" s="4">
        <v>49</v>
      </c>
      <c r="D51" s="4" t="s">
        <v>150</v>
      </c>
      <c r="E51" s="4" t="s">
        <v>149</v>
      </c>
      <c r="F51" s="4" t="s">
        <v>147</v>
      </c>
      <c r="H51" s="4" t="s">
        <v>148</v>
      </c>
    </row>
    <row r="52" spans="1:10" ht="45" x14ac:dyDescent="0.25">
      <c r="A52" s="4">
        <v>50</v>
      </c>
      <c r="E52" s="4" t="s">
        <v>153</v>
      </c>
      <c r="I52" s="4" t="s">
        <v>152</v>
      </c>
    </row>
    <row r="53" spans="1:10" ht="60" x14ac:dyDescent="0.25">
      <c r="A53" s="4">
        <v>51</v>
      </c>
      <c r="E53" s="4" t="s">
        <v>154</v>
      </c>
      <c r="I53" s="4" t="s">
        <v>155</v>
      </c>
    </row>
    <row r="54" spans="1:10" ht="60" x14ac:dyDescent="0.25">
      <c r="A54" s="4">
        <v>52</v>
      </c>
      <c r="E54" s="6" t="s">
        <v>156</v>
      </c>
      <c r="H54" s="4" t="s">
        <v>157</v>
      </c>
      <c r="I54" s="4" t="s">
        <v>160</v>
      </c>
    </row>
    <row r="55" spans="1:10" ht="30" x14ac:dyDescent="0.25">
      <c r="A55" s="4">
        <v>53</v>
      </c>
      <c r="C55" s="6" t="s">
        <v>158</v>
      </c>
      <c r="I55" s="4" t="s">
        <v>159</v>
      </c>
    </row>
    <row r="56" spans="1:10" x14ac:dyDescent="0.25">
      <c r="A56" s="4">
        <v>54</v>
      </c>
      <c r="D56" s="4" t="s">
        <v>162</v>
      </c>
      <c r="F56" s="4" t="s">
        <v>109</v>
      </c>
      <c r="I56" s="4" t="s">
        <v>161</v>
      </c>
    </row>
    <row r="57" spans="1:10" x14ac:dyDescent="0.25">
      <c r="A57" s="4">
        <v>55</v>
      </c>
      <c r="D57" s="7" t="s">
        <v>163</v>
      </c>
      <c r="F57" s="4" t="s">
        <v>165</v>
      </c>
      <c r="I57" s="4" t="s">
        <v>164</v>
      </c>
    </row>
    <row r="58" spans="1:10" x14ac:dyDescent="0.25">
      <c r="A58" s="4">
        <v>56</v>
      </c>
      <c r="F58" s="4" t="s">
        <v>112</v>
      </c>
      <c r="I58" s="4" t="s">
        <v>166</v>
      </c>
    </row>
    <row r="59" spans="1:10" x14ac:dyDescent="0.25">
      <c r="A59" s="4">
        <v>57</v>
      </c>
      <c r="D59" s="4" t="s">
        <v>167</v>
      </c>
    </row>
    <row r="60" spans="1:10" x14ac:dyDescent="0.25">
      <c r="A60" s="4">
        <v>58</v>
      </c>
      <c r="F60" s="4" t="s">
        <v>165</v>
      </c>
      <c r="I60" s="4" t="s">
        <v>169</v>
      </c>
    </row>
    <row r="61" spans="1:10" ht="45" x14ac:dyDescent="0.25">
      <c r="A61" s="4">
        <v>59</v>
      </c>
      <c r="D61" s="6" t="s">
        <v>170</v>
      </c>
      <c r="F61" s="4" t="s">
        <v>168</v>
      </c>
      <c r="I61" s="4" t="s">
        <v>171</v>
      </c>
    </row>
    <row r="62" spans="1:10" ht="30" x14ac:dyDescent="0.25">
      <c r="A62" s="4">
        <v>60</v>
      </c>
      <c r="F62" s="4" t="s">
        <v>172</v>
      </c>
      <c r="I62" s="4" t="s">
        <v>174</v>
      </c>
    </row>
    <row r="63" spans="1:10" x14ac:dyDescent="0.25">
      <c r="A63" s="4">
        <v>61</v>
      </c>
      <c r="F63" s="4" t="s">
        <v>173</v>
      </c>
      <c r="I63" s="4" t="s">
        <v>42</v>
      </c>
    </row>
    <row r="64" spans="1:10" x14ac:dyDescent="0.25">
      <c r="A64" s="4">
        <v>62</v>
      </c>
      <c r="F64" s="4" t="s">
        <v>112</v>
      </c>
      <c r="I64" s="4" t="s">
        <v>175</v>
      </c>
    </row>
    <row r="65" spans="1:9" x14ac:dyDescent="0.25">
      <c r="A65" s="4">
        <v>63</v>
      </c>
      <c r="F65" s="4" t="s">
        <v>176</v>
      </c>
      <c r="I65" s="4" t="s">
        <v>177</v>
      </c>
    </row>
    <row r="66" spans="1:9" ht="45" x14ac:dyDescent="0.25">
      <c r="A66" s="4">
        <v>64</v>
      </c>
      <c r="D66" s="4" t="s">
        <v>178</v>
      </c>
      <c r="I66" s="4" t="s">
        <v>179</v>
      </c>
    </row>
    <row r="67" spans="1:9" x14ac:dyDescent="0.25">
      <c r="A67" s="4">
        <v>65</v>
      </c>
      <c r="F67" s="4" t="s">
        <v>40</v>
      </c>
      <c r="I67" s="4" t="s">
        <v>180</v>
      </c>
    </row>
    <row r="68" spans="1:9" x14ac:dyDescent="0.25">
      <c r="A68" s="4">
        <v>66</v>
      </c>
      <c r="F68" s="4" t="s">
        <v>181</v>
      </c>
      <c r="I68" s="4" t="s">
        <v>184</v>
      </c>
    </row>
    <row r="69" spans="1:9" ht="30" x14ac:dyDescent="0.25">
      <c r="A69" s="4">
        <v>67</v>
      </c>
      <c r="F69" s="4" t="s">
        <v>182</v>
      </c>
      <c r="I69" s="4" t="s">
        <v>183</v>
      </c>
    </row>
    <row r="70" spans="1:9" ht="30" x14ac:dyDescent="0.25">
      <c r="A70" s="4">
        <v>68</v>
      </c>
      <c r="D70" s="4" t="s">
        <v>191</v>
      </c>
      <c r="F70" s="4" t="s">
        <v>185</v>
      </c>
      <c r="I70" s="4" t="s">
        <v>186</v>
      </c>
    </row>
    <row r="71" spans="1:9" ht="30" x14ac:dyDescent="0.25">
      <c r="A71" s="4">
        <v>69</v>
      </c>
      <c r="D71" s="4" t="s">
        <v>187</v>
      </c>
      <c r="H71" s="4" t="s">
        <v>188</v>
      </c>
      <c r="I71" s="9" t="s">
        <v>189</v>
      </c>
    </row>
    <row r="72" spans="1:9" x14ac:dyDescent="0.25">
      <c r="A72" s="4">
        <v>70</v>
      </c>
      <c r="D72" s="4" t="s">
        <v>190</v>
      </c>
    </row>
    <row r="73" spans="1:9" ht="30" x14ac:dyDescent="0.25">
      <c r="A73" s="4">
        <v>71</v>
      </c>
      <c r="B73" s="8">
        <v>7.6</v>
      </c>
      <c r="G73" s="4" t="s">
        <v>192</v>
      </c>
      <c r="I73" s="4" t="s">
        <v>193</v>
      </c>
    </row>
    <row r="74" spans="1:9" ht="30" x14ac:dyDescent="0.25">
      <c r="A74" s="4">
        <v>72</v>
      </c>
      <c r="B74" s="9">
        <v>7.7</v>
      </c>
      <c r="G74" s="4" t="s">
        <v>194</v>
      </c>
      <c r="I74" s="4" t="s">
        <v>195</v>
      </c>
    </row>
    <row r="75" spans="1:9" ht="45" x14ac:dyDescent="0.25">
      <c r="A75" s="4">
        <v>73</v>
      </c>
      <c r="D75" s="4" t="s">
        <v>207</v>
      </c>
      <c r="I75" s="4" t="s">
        <v>196</v>
      </c>
    </row>
    <row r="76" spans="1:9" ht="60" x14ac:dyDescent="0.25">
      <c r="A76" s="4">
        <v>74</v>
      </c>
      <c r="H76" s="4" t="s">
        <v>246</v>
      </c>
      <c r="I76" s="9" t="s">
        <v>205</v>
      </c>
    </row>
    <row r="77" spans="1:9" ht="30" x14ac:dyDescent="0.25">
      <c r="A77" s="4">
        <v>75</v>
      </c>
      <c r="D77" s="4" t="s">
        <v>206</v>
      </c>
      <c r="I77" s="12" t="s">
        <v>208</v>
      </c>
    </row>
    <row r="78" spans="1:9" ht="30" x14ac:dyDescent="0.25">
      <c r="A78" s="4">
        <v>76</v>
      </c>
      <c r="F78" s="4" t="s">
        <v>209</v>
      </c>
      <c r="H78" s="4" t="s">
        <v>220</v>
      </c>
      <c r="I78" s="4" t="s">
        <v>210</v>
      </c>
    </row>
    <row r="79" spans="1:9" x14ac:dyDescent="0.25">
      <c r="A79" s="4">
        <v>77</v>
      </c>
      <c r="H79" s="4" t="s">
        <v>215</v>
      </c>
      <c r="I79" s="4" t="s">
        <v>210</v>
      </c>
    </row>
    <row r="80" spans="1:9" ht="30" x14ac:dyDescent="0.25">
      <c r="A80" s="4">
        <v>78</v>
      </c>
      <c r="H80" s="4" t="s">
        <v>219</v>
      </c>
      <c r="I80" s="4" t="s">
        <v>212</v>
      </c>
    </row>
    <row r="81" spans="1:9" x14ac:dyDescent="0.25">
      <c r="A81" s="4">
        <v>79</v>
      </c>
      <c r="F81" s="4" t="s">
        <v>211</v>
      </c>
      <c r="I81" s="4" t="s">
        <v>213</v>
      </c>
    </row>
    <row r="82" spans="1:9" ht="30" x14ac:dyDescent="0.25">
      <c r="A82" s="4">
        <v>80</v>
      </c>
      <c r="F82" s="7" t="s">
        <v>218</v>
      </c>
      <c r="H82" s="4" t="s">
        <v>216</v>
      </c>
      <c r="I82" s="13" t="s">
        <v>214</v>
      </c>
    </row>
    <row r="83" spans="1:9" ht="30" x14ac:dyDescent="0.25">
      <c r="A83" s="4">
        <v>81</v>
      </c>
      <c r="H83" s="4" t="s">
        <v>221</v>
      </c>
      <c r="I83" s="4" t="s">
        <v>223</v>
      </c>
    </row>
    <row r="84" spans="1:9" x14ac:dyDescent="0.25">
      <c r="A84" s="4">
        <v>82</v>
      </c>
      <c r="F84" s="4" t="s">
        <v>224</v>
      </c>
    </row>
    <row r="85" spans="1:9" x14ac:dyDescent="0.25">
      <c r="A85" s="4">
        <v>83</v>
      </c>
      <c r="F85" s="4" t="s">
        <v>225</v>
      </c>
      <c r="I85" s="4" t="s">
        <v>227</v>
      </c>
    </row>
    <row r="86" spans="1:9" ht="45" x14ac:dyDescent="0.25">
      <c r="A86" s="4">
        <v>84</v>
      </c>
      <c r="F86" s="4" t="s">
        <v>228</v>
      </c>
      <c r="G86" s="4" t="s">
        <v>226</v>
      </c>
      <c r="H86" s="4" t="s">
        <v>229</v>
      </c>
    </row>
    <row r="87" spans="1:9" x14ac:dyDescent="0.25">
      <c r="A87" s="4">
        <v>85</v>
      </c>
      <c r="D87" s="4" t="s">
        <v>231</v>
      </c>
    </row>
    <row r="88" spans="1:9" x14ac:dyDescent="0.25">
      <c r="A88" s="4">
        <v>86</v>
      </c>
      <c r="F88" s="4" t="s">
        <v>230</v>
      </c>
      <c r="I88" s="4" t="s">
        <v>222</v>
      </c>
    </row>
    <row r="89" spans="1:9" x14ac:dyDescent="0.25">
      <c r="A89" s="4">
        <v>87</v>
      </c>
      <c r="H89" s="4" t="s">
        <v>232</v>
      </c>
      <c r="I89" s="4" t="s">
        <v>233</v>
      </c>
    </row>
    <row r="90" spans="1:9" x14ac:dyDescent="0.25">
      <c r="A90" s="4">
        <v>88</v>
      </c>
      <c r="G90" s="4" t="s">
        <v>235</v>
      </c>
      <c r="H90" s="4" t="s">
        <v>234</v>
      </c>
    </row>
    <row r="91" spans="1:9" x14ac:dyDescent="0.25">
      <c r="A91" s="4">
        <v>89</v>
      </c>
      <c r="G91" s="4" t="s">
        <v>236</v>
      </c>
    </row>
    <row r="92" spans="1:9" x14ac:dyDescent="0.25">
      <c r="A92" s="4">
        <v>90</v>
      </c>
      <c r="G92" s="4" t="s">
        <v>237</v>
      </c>
    </row>
    <row r="93" spans="1:9" x14ac:dyDescent="0.25">
      <c r="A93" s="4">
        <v>91</v>
      </c>
      <c r="H93" s="4" t="s">
        <v>217</v>
      </c>
    </row>
    <row r="94" spans="1:9" x14ac:dyDescent="0.25">
      <c r="A94" s="4">
        <v>92</v>
      </c>
      <c r="G94" s="4" t="s">
        <v>238</v>
      </c>
    </row>
    <row r="95" spans="1:9" x14ac:dyDescent="0.25">
      <c r="A95" s="4">
        <v>93</v>
      </c>
      <c r="D95" s="4" t="s">
        <v>239</v>
      </c>
      <c r="G95" s="4" t="s">
        <v>262</v>
      </c>
    </row>
    <row r="96" spans="1:9" x14ac:dyDescent="0.25">
      <c r="A96" s="4">
        <v>94</v>
      </c>
      <c r="D96" s="4" t="s">
        <v>241</v>
      </c>
      <c r="I96" s="4" t="s">
        <v>240</v>
      </c>
    </row>
    <row r="97" spans="1:9" ht="30" x14ac:dyDescent="0.25">
      <c r="A97" s="4">
        <v>95</v>
      </c>
      <c r="D97" s="4" t="s">
        <v>239</v>
      </c>
      <c r="F97" s="4" t="s">
        <v>128</v>
      </c>
      <c r="I97" s="4" t="s">
        <v>243</v>
      </c>
    </row>
    <row r="98" spans="1:9" x14ac:dyDescent="0.25">
      <c r="A98" s="4">
        <v>96</v>
      </c>
      <c r="F98" s="4" t="s">
        <v>242</v>
      </c>
      <c r="I98" s="4" t="s">
        <v>281</v>
      </c>
    </row>
    <row r="99" spans="1:9" ht="30" x14ac:dyDescent="0.25">
      <c r="A99" s="4">
        <v>97</v>
      </c>
      <c r="F99" s="4" t="s">
        <v>173</v>
      </c>
      <c r="H99" s="4" t="s">
        <v>244</v>
      </c>
      <c r="I99" s="4" t="s">
        <v>247</v>
      </c>
    </row>
    <row r="100" spans="1:9" ht="30" x14ac:dyDescent="0.25">
      <c r="A100" s="4">
        <v>98</v>
      </c>
      <c r="E100" s="4" t="s">
        <v>251</v>
      </c>
      <c r="F100" s="4" t="s">
        <v>245</v>
      </c>
      <c r="I100" s="4" t="s">
        <v>248</v>
      </c>
    </row>
    <row r="101" spans="1:9" ht="45" x14ac:dyDescent="0.25">
      <c r="B101" s="14">
        <v>7.8</v>
      </c>
      <c r="E101" s="4" t="s">
        <v>250</v>
      </c>
      <c r="G101" s="4" t="s">
        <v>276</v>
      </c>
      <c r="H101" s="8" t="s">
        <v>259</v>
      </c>
      <c r="I101" s="4" t="s">
        <v>254</v>
      </c>
    </row>
    <row r="102" spans="1:9" ht="30" x14ac:dyDescent="0.25">
      <c r="A102" s="4">
        <v>99</v>
      </c>
      <c r="E102" s="4" t="s">
        <v>249</v>
      </c>
      <c r="I102" s="4" t="s">
        <v>252</v>
      </c>
    </row>
    <row r="103" spans="1:9" x14ac:dyDescent="0.25">
      <c r="A103" s="4">
        <v>100</v>
      </c>
      <c r="H103" s="4" t="s">
        <v>253</v>
      </c>
    </row>
    <row r="104" spans="1:9" ht="30" x14ac:dyDescent="0.25">
      <c r="A104" s="4">
        <v>101</v>
      </c>
      <c r="H104" s="4" t="s">
        <v>255</v>
      </c>
      <c r="I104" s="4" t="s">
        <v>258</v>
      </c>
    </row>
    <row r="105" spans="1:9" x14ac:dyDescent="0.25">
      <c r="A105" s="4">
        <v>102</v>
      </c>
      <c r="H105" s="4" t="s">
        <v>256</v>
      </c>
      <c r="I105" s="4" t="s">
        <v>257</v>
      </c>
    </row>
    <row r="106" spans="1:9" ht="30" x14ac:dyDescent="0.25">
      <c r="A106" s="4">
        <v>103</v>
      </c>
      <c r="D106" s="4" t="s">
        <v>239</v>
      </c>
      <c r="I106" s="4" t="s">
        <v>260</v>
      </c>
    </row>
    <row r="107" spans="1:9" ht="45" x14ac:dyDescent="0.25">
      <c r="A107" s="4">
        <v>104</v>
      </c>
      <c r="G107" s="4" t="s">
        <v>226</v>
      </c>
      <c r="I107" s="4" t="s">
        <v>261</v>
      </c>
    </row>
    <row r="108" spans="1:9" ht="45" x14ac:dyDescent="0.25">
      <c r="A108" s="4">
        <v>105</v>
      </c>
      <c r="H108" s="4" t="s">
        <v>234</v>
      </c>
      <c r="I108" s="4" t="s">
        <v>263</v>
      </c>
    </row>
    <row r="109" spans="1:9" ht="30" x14ac:dyDescent="0.25">
      <c r="A109" s="4">
        <v>106</v>
      </c>
      <c r="F109" s="4" t="s">
        <v>128</v>
      </c>
      <c r="I109" s="4" t="s">
        <v>264</v>
      </c>
    </row>
    <row r="110" spans="1:9" x14ac:dyDescent="0.25">
      <c r="A110" s="4">
        <v>107</v>
      </c>
      <c r="F110" s="4" t="s">
        <v>265</v>
      </c>
      <c r="I110" s="4" t="s">
        <v>266</v>
      </c>
    </row>
    <row r="111" spans="1:9" x14ac:dyDescent="0.25">
      <c r="A111" s="4">
        <v>108</v>
      </c>
      <c r="F111" s="4" t="s">
        <v>173</v>
      </c>
      <c r="I111" s="4" t="s">
        <v>266</v>
      </c>
    </row>
    <row r="112" spans="1:9" x14ac:dyDescent="0.25">
      <c r="A112" s="4">
        <v>109</v>
      </c>
      <c r="H112" s="4" t="s">
        <v>232</v>
      </c>
      <c r="I112" s="4" t="s">
        <v>269</v>
      </c>
    </row>
    <row r="113" spans="1:9" ht="30" x14ac:dyDescent="0.25">
      <c r="A113" s="4">
        <v>110</v>
      </c>
      <c r="F113" s="4" t="s">
        <v>267</v>
      </c>
      <c r="I113" s="4" t="s">
        <v>279</v>
      </c>
    </row>
    <row r="114" spans="1:9" x14ac:dyDescent="0.25">
      <c r="A114" s="4">
        <v>111</v>
      </c>
      <c r="F114" s="4" t="s">
        <v>278</v>
      </c>
      <c r="H114" s="4" t="s">
        <v>268</v>
      </c>
      <c r="I114" s="4" t="s">
        <v>280</v>
      </c>
    </row>
    <row r="116" spans="1:9" x14ac:dyDescent="0.25">
      <c r="A116" s="4">
        <v>112</v>
      </c>
      <c r="B116" s="9">
        <v>7.7</v>
      </c>
      <c r="H116" s="4" t="s">
        <v>277</v>
      </c>
    </row>
    <row r="117" spans="1:9" x14ac:dyDescent="0.25">
      <c r="A117" s="4">
        <v>113</v>
      </c>
      <c r="E117" s="4" t="s">
        <v>282</v>
      </c>
      <c r="F117" s="4" t="s">
        <v>168</v>
      </c>
      <c r="I117" s="4" t="s">
        <v>283</v>
      </c>
    </row>
    <row r="118" spans="1:9" x14ac:dyDescent="0.25">
      <c r="A118" s="4">
        <v>114</v>
      </c>
      <c r="H118" s="4" t="s">
        <v>253</v>
      </c>
      <c r="I118" s="4" t="s">
        <v>76</v>
      </c>
    </row>
    <row r="119" spans="1:9" x14ac:dyDescent="0.25">
      <c r="A119" s="4">
        <v>115</v>
      </c>
      <c r="H119" s="4" t="s">
        <v>285</v>
      </c>
      <c r="I119" s="4" t="s">
        <v>286</v>
      </c>
    </row>
    <row r="120" spans="1:9" x14ac:dyDescent="0.25">
      <c r="A120" s="4">
        <v>116</v>
      </c>
      <c r="F120" s="4" t="s">
        <v>287</v>
      </c>
    </row>
    <row r="121" spans="1:9" ht="30" x14ac:dyDescent="0.25">
      <c r="A121" s="4">
        <v>117</v>
      </c>
      <c r="F121" s="4" t="s">
        <v>128</v>
      </c>
      <c r="I121" s="4" t="s">
        <v>288</v>
      </c>
    </row>
    <row r="122" spans="1:9" x14ac:dyDescent="0.25">
      <c r="A122" s="4">
        <v>118</v>
      </c>
      <c r="H122" s="4" t="s">
        <v>244</v>
      </c>
    </row>
    <row r="123" spans="1:9" x14ac:dyDescent="0.25">
      <c r="A123" s="4">
        <v>119</v>
      </c>
      <c r="F123" s="4" t="s">
        <v>289</v>
      </c>
      <c r="I123" s="4" t="s">
        <v>290</v>
      </c>
    </row>
    <row r="125" spans="1:9" ht="60" x14ac:dyDescent="0.25">
      <c r="A125" s="4">
        <v>120</v>
      </c>
      <c r="B125" s="9">
        <v>7.9</v>
      </c>
      <c r="D125" s="4" t="s">
        <v>294</v>
      </c>
      <c r="H125" s="4" t="s">
        <v>322</v>
      </c>
      <c r="I125" s="12" t="s">
        <v>292</v>
      </c>
    </row>
    <row r="126" spans="1:9" x14ac:dyDescent="0.25">
      <c r="A126" s="4">
        <v>121</v>
      </c>
      <c r="D126" s="4" t="s">
        <v>291</v>
      </c>
      <c r="I126" s="4" t="s">
        <v>293</v>
      </c>
    </row>
    <row r="127" spans="1:9" x14ac:dyDescent="0.25">
      <c r="A127" s="4">
        <v>122</v>
      </c>
      <c r="H127" s="4" t="s">
        <v>253</v>
      </c>
      <c r="I127" s="4" t="s">
        <v>295</v>
      </c>
    </row>
    <row r="128" spans="1:9" x14ac:dyDescent="0.25">
      <c r="A128" s="4">
        <v>123</v>
      </c>
      <c r="F128" s="4" t="s">
        <v>128</v>
      </c>
      <c r="I128" s="4" t="s">
        <v>298</v>
      </c>
    </row>
    <row r="129" spans="1:9" ht="30" x14ac:dyDescent="0.25">
      <c r="A129" s="4">
        <v>124</v>
      </c>
      <c r="D129" s="4" t="s">
        <v>299</v>
      </c>
      <c r="I129" s="4" t="s">
        <v>300</v>
      </c>
    </row>
    <row r="130" spans="1:9" x14ac:dyDescent="0.25">
      <c r="A130" s="4">
        <v>125</v>
      </c>
      <c r="H130" s="4" t="s">
        <v>296</v>
      </c>
      <c r="I130" s="4" t="s">
        <v>301</v>
      </c>
    </row>
    <row r="131" spans="1:9" ht="30" x14ac:dyDescent="0.25">
      <c r="A131" s="4">
        <v>126</v>
      </c>
      <c r="G131" s="4" t="s">
        <v>302</v>
      </c>
      <c r="I131" s="4" t="s">
        <v>304</v>
      </c>
    </row>
    <row r="132" spans="1:9" x14ac:dyDescent="0.25">
      <c r="A132" s="4">
        <v>127</v>
      </c>
      <c r="H132" s="4" t="s">
        <v>284</v>
      </c>
      <c r="I132" s="4" t="s">
        <v>305</v>
      </c>
    </row>
    <row r="133" spans="1:9" x14ac:dyDescent="0.25">
      <c r="A133" s="4">
        <v>128</v>
      </c>
      <c r="D133" s="4" t="s">
        <v>297</v>
      </c>
      <c r="I133" s="4" t="s">
        <v>306</v>
      </c>
    </row>
    <row r="134" spans="1:9" ht="30" x14ac:dyDescent="0.25">
      <c r="A134" s="4">
        <v>129</v>
      </c>
      <c r="H134" s="4" t="s">
        <v>244</v>
      </c>
      <c r="I134" s="4" t="s">
        <v>307</v>
      </c>
    </row>
    <row r="135" spans="1:9" x14ac:dyDescent="0.25">
      <c r="A135" s="4">
        <v>130</v>
      </c>
      <c r="G135" s="4" t="s">
        <v>303</v>
      </c>
      <c r="I135" s="4" t="s">
        <v>308</v>
      </c>
    </row>
    <row r="136" spans="1:9" x14ac:dyDescent="0.25">
      <c r="A136" s="4">
        <v>131</v>
      </c>
      <c r="D136" s="4" t="s">
        <v>239</v>
      </c>
    </row>
    <row r="137" spans="1:9" x14ac:dyDescent="0.25">
      <c r="A137" s="4">
        <v>132</v>
      </c>
      <c r="D137" s="4" t="s">
        <v>309</v>
      </c>
    </row>
    <row r="138" spans="1:9" ht="30" x14ac:dyDescent="0.25">
      <c r="A138" s="4">
        <v>133</v>
      </c>
      <c r="D138" s="4" t="s">
        <v>310</v>
      </c>
      <c r="I138" s="4" t="s">
        <v>311</v>
      </c>
    </row>
    <row r="139" spans="1:9" x14ac:dyDescent="0.25">
      <c r="A139" s="4">
        <v>134</v>
      </c>
      <c r="G139" s="4" t="s">
        <v>312</v>
      </c>
    </row>
    <row r="140" spans="1:9" x14ac:dyDescent="0.25">
      <c r="A140" s="4">
        <v>135</v>
      </c>
      <c r="F140" s="4" t="s">
        <v>313</v>
      </c>
    </row>
    <row r="141" spans="1:9" x14ac:dyDescent="0.25">
      <c r="A141" s="4">
        <v>136</v>
      </c>
      <c r="F141" s="4" t="s">
        <v>168</v>
      </c>
      <c r="I141" s="4" t="s">
        <v>352</v>
      </c>
    </row>
    <row r="142" spans="1:9" ht="30" x14ac:dyDescent="0.25">
      <c r="A142" s="4">
        <v>137</v>
      </c>
      <c r="F142" s="4" t="s">
        <v>314</v>
      </c>
      <c r="I142" s="4" t="s">
        <v>316</v>
      </c>
    </row>
    <row r="143" spans="1:9" ht="45" x14ac:dyDescent="0.25">
      <c r="A143" s="4">
        <v>138</v>
      </c>
      <c r="F143" s="4" t="s">
        <v>315</v>
      </c>
      <c r="I143" s="4" t="s">
        <v>317</v>
      </c>
    </row>
    <row r="144" spans="1:9" x14ac:dyDescent="0.25">
      <c r="A144" s="4">
        <v>139</v>
      </c>
      <c r="H144" s="4" t="s">
        <v>318</v>
      </c>
      <c r="I144" s="4" t="s">
        <v>319</v>
      </c>
    </row>
    <row r="145" spans="1:9" x14ac:dyDescent="0.25">
      <c r="A145" s="4">
        <v>140</v>
      </c>
      <c r="F145" s="4" t="s">
        <v>321</v>
      </c>
      <c r="I145" s="4" t="s">
        <v>320</v>
      </c>
    </row>
    <row r="146" spans="1:9" x14ac:dyDescent="0.25">
      <c r="A146" s="4">
        <v>141</v>
      </c>
      <c r="H146" s="4" t="s">
        <v>232</v>
      </c>
      <c r="I146" s="4" t="s">
        <v>323</v>
      </c>
    </row>
    <row r="147" spans="1:9" x14ac:dyDescent="0.25">
      <c r="A147" s="4">
        <v>142</v>
      </c>
      <c r="D147" s="4" t="s">
        <v>297</v>
      </c>
      <c r="I147" s="4" t="s">
        <v>324</v>
      </c>
    </row>
    <row r="148" spans="1:9" x14ac:dyDescent="0.25">
      <c r="A148" s="4">
        <v>143</v>
      </c>
      <c r="F148" s="4" t="s">
        <v>325</v>
      </c>
      <c r="I148" s="4" t="s">
        <v>326</v>
      </c>
    </row>
    <row r="149" spans="1:9" ht="30" x14ac:dyDescent="0.25">
      <c r="A149" s="4">
        <v>144</v>
      </c>
      <c r="D149" s="4" t="s">
        <v>291</v>
      </c>
      <c r="I149" s="4" t="s">
        <v>327</v>
      </c>
    </row>
    <row r="150" spans="1:9" ht="30" x14ac:dyDescent="0.25">
      <c r="A150" s="4">
        <v>145</v>
      </c>
      <c r="H150" s="4" t="s">
        <v>328</v>
      </c>
      <c r="I150" s="4" t="s">
        <v>329</v>
      </c>
    </row>
    <row r="151" spans="1:9" ht="45" x14ac:dyDescent="0.25">
      <c r="A151" s="4" t="s">
        <v>333</v>
      </c>
      <c r="B151" s="15" t="s">
        <v>331</v>
      </c>
      <c r="D151" s="4" t="s">
        <v>330</v>
      </c>
      <c r="H151" s="4" t="s">
        <v>335</v>
      </c>
      <c r="I151" s="4" t="s">
        <v>332</v>
      </c>
    </row>
    <row r="152" spans="1:9" ht="60" x14ac:dyDescent="0.25">
      <c r="A152" s="4">
        <v>146</v>
      </c>
      <c r="B152" s="9">
        <v>7.11</v>
      </c>
      <c r="D152" s="4" t="s">
        <v>334</v>
      </c>
      <c r="H152" s="4" t="s">
        <v>335</v>
      </c>
      <c r="I152" s="4" t="s">
        <v>336</v>
      </c>
    </row>
    <row r="153" spans="1:9" x14ac:dyDescent="0.25">
      <c r="A153" s="4">
        <v>147</v>
      </c>
      <c r="F153" s="4" t="s">
        <v>339</v>
      </c>
      <c r="I153" s="4" t="s">
        <v>341</v>
      </c>
    </row>
    <row r="154" spans="1:9" x14ac:dyDescent="0.25">
      <c r="D154" s="4" t="s">
        <v>338</v>
      </c>
      <c r="I154" s="4" t="s">
        <v>340</v>
      </c>
    </row>
    <row r="155" spans="1:9" x14ac:dyDescent="0.25">
      <c r="B155" s="9">
        <v>7.12</v>
      </c>
      <c r="D155" s="4" t="s">
        <v>343</v>
      </c>
      <c r="F155" s="4" t="s">
        <v>342</v>
      </c>
      <c r="I155" s="4" t="s">
        <v>344</v>
      </c>
    </row>
    <row r="156" spans="1:9" ht="30" x14ac:dyDescent="0.25">
      <c r="A156" s="4">
        <v>148</v>
      </c>
      <c r="D156" s="4" t="s">
        <v>345</v>
      </c>
      <c r="H156" s="4" t="s">
        <v>357</v>
      </c>
      <c r="I156" s="16" t="s">
        <v>346</v>
      </c>
    </row>
    <row r="157" spans="1:9" ht="30" x14ac:dyDescent="0.25">
      <c r="A157" s="4">
        <v>149</v>
      </c>
      <c r="H157" s="4" t="s">
        <v>347</v>
      </c>
      <c r="I157" s="4" t="s">
        <v>350</v>
      </c>
    </row>
    <row r="158" spans="1:9" ht="30" x14ac:dyDescent="0.25">
      <c r="A158" s="4">
        <v>150</v>
      </c>
      <c r="F158" s="4" t="s">
        <v>168</v>
      </c>
      <c r="I158" s="4" t="s">
        <v>349</v>
      </c>
    </row>
    <row r="159" spans="1:9" ht="30" x14ac:dyDescent="0.25">
      <c r="A159" s="4">
        <v>151</v>
      </c>
      <c r="H159" s="4" t="s">
        <v>348</v>
      </c>
      <c r="I159" s="4" t="s">
        <v>351</v>
      </c>
    </row>
    <row r="160" spans="1:9" x14ac:dyDescent="0.25">
      <c r="A160" s="4">
        <v>152</v>
      </c>
      <c r="F160" s="4" t="s">
        <v>173</v>
      </c>
      <c r="I160" s="17" t="s">
        <v>354</v>
      </c>
    </row>
    <row r="161" spans="1:9" ht="30" x14ac:dyDescent="0.25">
      <c r="A161" s="4">
        <v>153</v>
      </c>
      <c r="F161" s="4" t="s">
        <v>353</v>
      </c>
      <c r="I161" s="4" t="s">
        <v>358</v>
      </c>
    </row>
    <row r="162" spans="1:9" x14ac:dyDescent="0.25">
      <c r="A162" s="4">
        <v>154</v>
      </c>
      <c r="H162" s="4" t="s">
        <v>255</v>
      </c>
      <c r="I162" s="4" t="s">
        <v>355</v>
      </c>
    </row>
    <row r="163" spans="1:9" ht="60" x14ac:dyDescent="0.25">
      <c r="A163" s="4">
        <v>155</v>
      </c>
      <c r="D163" s="4" t="s">
        <v>359</v>
      </c>
      <c r="H163" s="4" t="s">
        <v>356</v>
      </c>
      <c r="I163" s="4" t="s">
        <v>361</v>
      </c>
    </row>
    <row r="164" spans="1:9" x14ac:dyDescent="0.25">
      <c r="A164" s="4">
        <v>156</v>
      </c>
      <c r="H164" s="4" t="s">
        <v>360</v>
      </c>
      <c r="I164" s="4" t="s">
        <v>362</v>
      </c>
    </row>
    <row r="165" spans="1:9" x14ac:dyDescent="0.25">
      <c r="A165" s="4">
        <v>157</v>
      </c>
      <c r="H165" s="4" t="s">
        <v>363</v>
      </c>
      <c r="I165" s="4" t="s">
        <v>364</v>
      </c>
    </row>
    <row r="166" spans="1:9" ht="30" x14ac:dyDescent="0.25">
      <c r="A166" s="4">
        <v>158</v>
      </c>
      <c r="H166" s="4" t="s">
        <v>365</v>
      </c>
      <c r="I166" s="4" t="s">
        <v>367</v>
      </c>
    </row>
    <row r="167" spans="1:9" ht="30" x14ac:dyDescent="0.25">
      <c r="A167" s="4">
        <v>159</v>
      </c>
      <c r="H167" s="4" t="s">
        <v>366</v>
      </c>
      <c r="I167" s="4" t="s">
        <v>368</v>
      </c>
    </row>
    <row r="168" spans="1:9" x14ac:dyDescent="0.25">
      <c r="A168" s="4">
        <v>160</v>
      </c>
      <c r="F168" s="4" t="s">
        <v>369</v>
      </c>
      <c r="I168" s="4" t="s">
        <v>370</v>
      </c>
    </row>
    <row r="169" spans="1:9" x14ac:dyDescent="0.25">
      <c r="A169" s="4">
        <v>161</v>
      </c>
      <c r="D169" s="4" t="s">
        <v>371</v>
      </c>
      <c r="I169" s="4" t="s">
        <v>372</v>
      </c>
    </row>
    <row r="170" spans="1:9" x14ac:dyDescent="0.25">
      <c r="A170" s="4">
        <v>162</v>
      </c>
      <c r="H170" s="4" t="s">
        <v>373</v>
      </c>
      <c r="I170" s="4" t="s">
        <v>374</v>
      </c>
    </row>
    <row r="171" spans="1:9" x14ac:dyDescent="0.25">
      <c r="A171" s="4">
        <v>163</v>
      </c>
      <c r="D171" s="4" t="s">
        <v>376</v>
      </c>
      <c r="H171" s="4" t="s">
        <v>375</v>
      </c>
      <c r="I171" s="4" t="s">
        <v>378</v>
      </c>
    </row>
    <row r="172" spans="1:9" x14ac:dyDescent="0.25">
      <c r="A172" s="4">
        <v>164</v>
      </c>
      <c r="D172" s="4" t="s">
        <v>377</v>
      </c>
    </row>
    <row r="173" spans="1:9" x14ac:dyDescent="0.25">
      <c r="A173" s="4">
        <v>165</v>
      </c>
      <c r="D173" s="4" t="s">
        <v>379</v>
      </c>
    </row>
    <row r="174" spans="1:9" x14ac:dyDescent="0.25">
      <c r="A174" s="4">
        <v>166</v>
      </c>
      <c r="H174" s="4" t="s">
        <v>380</v>
      </c>
      <c r="I174" s="4" t="s">
        <v>381</v>
      </c>
    </row>
    <row r="175" spans="1:9" ht="30" x14ac:dyDescent="0.25">
      <c r="A175" s="4">
        <v>167</v>
      </c>
      <c r="D175" s="4" t="s">
        <v>382</v>
      </c>
    </row>
    <row r="176" spans="1:9" x14ac:dyDescent="0.25">
      <c r="A176" s="4">
        <v>168</v>
      </c>
      <c r="D176" s="4" t="s">
        <v>383</v>
      </c>
      <c r="I176" s="4" t="s">
        <v>384</v>
      </c>
    </row>
    <row r="177" spans="1:9" ht="30" x14ac:dyDescent="0.25">
      <c r="A177" s="4">
        <v>169</v>
      </c>
      <c r="D177" s="4" t="s">
        <v>385</v>
      </c>
      <c r="H177" s="4" t="s">
        <v>386</v>
      </c>
    </row>
    <row r="178" spans="1:9" x14ac:dyDescent="0.25">
      <c r="A178" s="4">
        <v>170</v>
      </c>
      <c r="H178" s="4" t="s">
        <v>348</v>
      </c>
    </row>
    <row r="179" spans="1:9" x14ac:dyDescent="0.25">
      <c r="A179" s="4">
        <v>171</v>
      </c>
      <c r="H179" s="4" t="s">
        <v>347</v>
      </c>
      <c r="I179" s="4" t="s">
        <v>387</v>
      </c>
    </row>
    <row r="180" spans="1:9" x14ac:dyDescent="0.25">
      <c r="A180" s="4">
        <v>172</v>
      </c>
      <c r="H180" s="4" t="s">
        <v>389</v>
      </c>
    </row>
    <row r="181" spans="1:9" x14ac:dyDescent="0.25">
      <c r="A181" s="4">
        <v>173</v>
      </c>
      <c r="H181" s="4" t="s">
        <v>390</v>
      </c>
      <c r="I181" s="4" t="s">
        <v>391</v>
      </c>
    </row>
    <row r="182" spans="1:9" x14ac:dyDescent="0.25">
      <c r="A182" s="4">
        <v>174</v>
      </c>
      <c r="F182" s="4" t="s">
        <v>392</v>
      </c>
      <c r="I182" s="4" t="s">
        <v>393</v>
      </c>
    </row>
    <row r="183" spans="1:9" x14ac:dyDescent="0.25">
      <c r="A183" s="4">
        <v>175</v>
      </c>
      <c r="H183" s="4" t="s">
        <v>394</v>
      </c>
      <c r="I183" s="4" t="s">
        <v>42</v>
      </c>
    </row>
    <row r="184" spans="1:9" x14ac:dyDescent="0.25">
      <c r="A184" s="4">
        <v>176</v>
      </c>
      <c r="H184" s="4" t="s">
        <v>395</v>
      </c>
    </row>
    <row r="185" spans="1:9" x14ac:dyDescent="0.25">
      <c r="A185" s="4">
        <v>177</v>
      </c>
      <c r="H185" s="4" t="s">
        <v>375</v>
      </c>
    </row>
    <row r="186" spans="1:9" x14ac:dyDescent="0.25">
      <c r="A186" s="4">
        <v>178</v>
      </c>
      <c r="H186" s="4" t="s">
        <v>348</v>
      </c>
    </row>
    <row r="187" spans="1:9" ht="45" x14ac:dyDescent="0.25">
      <c r="A187" s="4">
        <v>179</v>
      </c>
      <c r="H187" s="4" t="s">
        <v>396</v>
      </c>
      <c r="I187" s="4" t="s">
        <v>397</v>
      </c>
    </row>
    <row r="188" spans="1:9" x14ac:dyDescent="0.25">
      <c r="A188" s="4">
        <v>180</v>
      </c>
      <c r="F188" s="4" t="s">
        <v>398</v>
      </c>
      <c r="I188" s="4" t="s">
        <v>399</v>
      </c>
    </row>
    <row r="189" spans="1:9" x14ac:dyDescent="0.25">
      <c r="A189" s="4">
        <v>181</v>
      </c>
      <c r="F189" s="4" t="s">
        <v>401</v>
      </c>
      <c r="H189" s="4" t="s">
        <v>348</v>
      </c>
    </row>
    <row r="190" spans="1:9" x14ac:dyDescent="0.25">
      <c r="A190" s="4">
        <v>182</v>
      </c>
      <c r="H190" s="4" t="s">
        <v>375</v>
      </c>
    </row>
    <row r="191" spans="1:9" x14ac:dyDescent="0.25">
      <c r="A191" s="4">
        <v>183</v>
      </c>
      <c r="H191" s="4" t="s">
        <v>400</v>
      </c>
    </row>
    <row r="192" spans="1:9" x14ac:dyDescent="0.25">
      <c r="A192" s="4">
        <v>184</v>
      </c>
      <c r="F192" s="4" t="s">
        <v>402</v>
      </c>
      <c r="H192" s="4" t="s">
        <v>403</v>
      </c>
    </row>
    <row r="193" spans="1:9" x14ac:dyDescent="0.25">
      <c r="A193" s="4">
        <v>185</v>
      </c>
      <c r="H193" s="4" t="s">
        <v>375</v>
      </c>
    </row>
    <row r="194" spans="1:9" x14ac:dyDescent="0.25">
      <c r="A194" s="4">
        <v>186</v>
      </c>
      <c r="H194" s="4" t="s">
        <v>348</v>
      </c>
    </row>
    <row r="195" spans="1:9" ht="30" x14ac:dyDescent="0.25">
      <c r="A195" s="4">
        <v>187</v>
      </c>
      <c r="H195" s="4" t="s">
        <v>380</v>
      </c>
      <c r="I195" s="4" t="s">
        <v>405</v>
      </c>
    </row>
    <row r="196" spans="1:9" ht="45" x14ac:dyDescent="0.25">
      <c r="A196" s="4">
        <v>188</v>
      </c>
      <c r="F196" s="4" t="s">
        <v>406</v>
      </c>
      <c r="H196" s="4" t="s">
        <v>375</v>
      </c>
      <c r="I196" s="4" t="s">
        <v>404</v>
      </c>
    </row>
    <row r="197" spans="1:9" x14ac:dyDescent="0.25">
      <c r="A197" s="4">
        <v>189</v>
      </c>
      <c r="F197" s="4" t="s">
        <v>408</v>
      </c>
      <c r="I197" s="4" t="s">
        <v>409</v>
      </c>
    </row>
    <row r="198" spans="1:9" ht="45" x14ac:dyDescent="0.25">
      <c r="A198" s="4">
        <v>190</v>
      </c>
      <c r="B198" s="9">
        <v>7.13</v>
      </c>
      <c r="C198" s="4" t="s">
        <v>407</v>
      </c>
      <c r="D198" s="4" t="s">
        <v>410</v>
      </c>
      <c r="I198" s="4" t="s">
        <v>411</v>
      </c>
    </row>
    <row r="199" spans="1:9" ht="30" x14ac:dyDescent="0.25">
      <c r="A199" s="4">
        <v>191</v>
      </c>
      <c r="B199" s="9">
        <v>7.14</v>
      </c>
      <c r="C199" s="4" t="s">
        <v>412</v>
      </c>
      <c r="G199" s="4" t="s">
        <v>192</v>
      </c>
      <c r="I199" s="4" t="s">
        <v>413</v>
      </c>
    </row>
    <row r="200" spans="1:9" ht="30" x14ac:dyDescent="0.25">
      <c r="A200" s="4" t="s">
        <v>333</v>
      </c>
      <c r="I200" s="4" t="s">
        <v>414</v>
      </c>
    </row>
    <row r="201" spans="1:9" ht="30" x14ac:dyDescent="0.25">
      <c r="A201" s="4">
        <v>192</v>
      </c>
      <c r="F201" s="4" t="s">
        <v>415</v>
      </c>
      <c r="G201" s="4" t="s">
        <v>420</v>
      </c>
      <c r="I201" s="4" t="s">
        <v>417</v>
      </c>
    </row>
    <row r="202" spans="1:9" ht="30" x14ac:dyDescent="0.25">
      <c r="A202" s="4">
        <v>193</v>
      </c>
      <c r="H202" s="4" t="s">
        <v>416</v>
      </c>
      <c r="I202" s="4" t="s">
        <v>418</v>
      </c>
    </row>
    <row r="203" spans="1:9" ht="45" x14ac:dyDescent="0.25">
      <c r="A203" s="4">
        <v>194</v>
      </c>
      <c r="D203" s="18" t="s">
        <v>419</v>
      </c>
      <c r="G203" s="4" t="s">
        <v>421</v>
      </c>
      <c r="H203" s="4" t="s">
        <v>422</v>
      </c>
      <c r="I203" s="4" t="s">
        <v>423</v>
      </c>
    </row>
    <row r="204" spans="1:9" x14ac:dyDescent="0.25">
      <c r="A204" s="4">
        <v>195</v>
      </c>
      <c r="H204" s="4" t="s">
        <v>347</v>
      </c>
      <c r="I204" s="4" t="s">
        <v>424</v>
      </c>
    </row>
    <row r="205" spans="1:9" ht="30" x14ac:dyDescent="0.25">
      <c r="A205" s="4">
        <v>196</v>
      </c>
      <c r="F205" s="4" t="s">
        <v>426</v>
      </c>
      <c r="I205" s="4" t="s">
        <v>427</v>
      </c>
    </row>
    <row r="206" spans="1:9" x14ac:dyDescent="0.25">
      <c r="A206" s="4" t="s">
        <v>333</v>
      </c>
      <c r="F206" s="4" t="s">
        <v>425</v>
      </c>
      <c r="I206" s="4" t="s">
        <v>429</v>
      </c>
    </row>
    <row r="207" spans="1:9" x14ac:dyDescent="0.25">
      <c r="A207" s="4" t="s">
        <v>333</v>
      </c>
      <c r="D207" s="4" t="s">
        <v>428</v>
      </c>
      <c r="F207" s="4" t="s">
        <v>440</v>
      </c>
      <c r="I207" s="4" t="s">
        <v>430</v>
      </c>
    </row>
    <row r="208" spans="1:9" x14ac:dyDescent="0.25">
      <c r="B208" s="12">
        <v>7.14</v>
      </c>
      <c r="D208" s="4" t="s">
        <v>431</v>
      </c>
      <c r="H208" s="4" t="s">
        <v>347</v>
      </c>
    </row>
    <row r="209" spans="1:9" ht="45" x14ac:dyDescent="0.25">
      <c r="A209" s="4">
        <v>198</v>
      </c>
      <c r="D209" s="4" t="s">
        <v>433</v>
      </c>
      <c r="H209" s="4" t="s">
        <v>434</v>
      </c>
      <c r="I209" s="4" t="s">
        <v>432</v>
      </c>
    </row>
    <row r="210" spans="1:9" x14ac:dyDescent="0.25">
      <c r="A210" s="4">
        <v>199</v>
      </c>
      <c r="D210" s="4" t="s">
        <v>435</v>
      </c>
    </row>
    <row r="211" spans="1:9" x14ac:dyDescent="0.25">
      <c r="A211" s="4">
        <v>200</v>
      </c>
      <c r="D211" s="4" t="s">
        <v>436</v>
      </c>
      <c r="H211" s="4" t="s">
        <v>438</v>
      </c>
    </row>
    <row r="212" spans="1:9" x14ac:dyDescent="0.25">
      <c r="A212" s="4">
        <v>201</v>
      </c>
      <c r="F212" s="4" t="s">
        <v>224</v>
      </c>
      <c r="H212" s="4" t="s">
        <v>437</v>
      </c>
    </row>
    <row r="213" spans="1:9" x14ac:dyDescent="0.25">
      <c r="A213" s="4">
        <v>202</v>
      </c>
      <c r="F213" s="4" t="s">
        <v>439</v>
      </c>
      <c r="H213" s="4" t="s">
        <v>388</v>
      </c>
    </row>
    <row r="214" spans="1:9" ht="30" x14ac:dyDescent="0.25">
      <c r="A214" s="4">
        <v>203</v>
      </c>
      <c r="F214" s="4" t="s">
        <v>441</v>
      </c>
    </row>
    <row r="215" spans="1:9" ht="45" x14ac:dyDescent="0.25">
      <c r="A215" s="4">
        <v>204</v>
      </c>
      <c r="F215" s="7" t="s">
        <v>442</v>
      </c>
      <c r="H215" s="4" t="s">
        <v>437</v>
      </c>
      <c r="I215" s="4" t="s">
        <v>443</v>
      </c>
    </row>
    <row r="216" spans="1:9" ht="30" x14ac:dyDescent="0.25">
      <c r="A216" s="4">
        <v>205</v>
      </c>
      <c r="F216" s="4" t="s">
        <v>448</v>
      </c>
      <c r="I216" s="4" t="s">
        <v>444</v>
      </c>
    </row>
    <row r="217" spans="1:9" x14ac:dyDescent="0.25">
      <c r="A217" s="4">
        <v>206</v>
      </c>
      <c r="H217" s="4" t="s">
        <v>445</v>
      </c>
      <c r="I217" s="4" t="s">
        <v>446</v>
      </c>
    </row>
    <row r="218" spans="1:9" x14ac:dyDescent="0.25">
      <c r="A218" s="4">
        <v>207</v>
      </c>
      <c r="H218" s="4" t="s">
        <v>348</v>
      </c>
      <c r="I218" s="4" t="s">
        <v>447</v>
      </c>
    </row>
    <row r="219" spans="1:9" ht="30" x14ac:dyDescent="0.25">
      <c r="A219" s="4">
        <v>208</v>
      </c>
      <c r="H219" s="4" t="s">
        <v>373</v>
      </c>
      <c r="I219" s="4" t="s">
        <v>449</v>
      </c>
    </row>
    <row r="220" spans="1:9" ht="30" x14ac:dyDescent="0.25">
      <c r="A220" s="4">
        <v>209</v>
      </c>
      <c r="H220" s="4" t="s">
        <v>450</v>
      </c>
      <c r="I220" s="4" t="s">
        <v>451</v>
      </c>
    </row>
    <row r="221" spans="1:9" x14ac:dyDescent="0.25">
      <c r="A221" s="4">
        <v>210</v>
      </c>
      <c r="H221" s="4" t="s">
        <v>445</v>
      </c>
      <c r="I221" s="4" t="s">
        <v>452</v>
      </c>
    </row>
    <row r="222" spans="1:9" ht="45" x14ac:dyDescent="0.25">
      <c r="A222" s="4">
        <v>211</v>
      </c>
      <c r="F222" s="4" t="s">
        <v>453</v>
      </c>
      <c r="H222" s="4" t="s">
        <v>388</v>
      </c>
      <c r="I222" s="4" t="s">
        <v>454</v>
      </c>
    </row>
    <row r="223" spans="1:9" x14ac:dyDescent="0.25">
      <c r="A223" s="4">
        <v>212</v>
      </c>
      <c r="F223" s="4" t="s">
        <v>455</v>
      </c>
      <c r="H223" s="4" t="s">
        <v>445</v>
      </c>
      <c r="I223" s="4" t="s">
        <v>456</v>
      </c>
    </row>
    <row r="224" spans="1:9" x14ac:dyDescent="0.25">
      <c r="A224" s="4">
        <v>213</v>
      </c>
      <c r="H224" s="4" t="s">
        <v>457</v>
      </c>
      <c r="I224" s="4" t="s">
        <v>460</v>
      </c>
    </row>
    <row r="225" spans="1:9" ht="45" x14ac:dyDescent="0.25">
      <c r="A225" s="4" t="s">
        <v>333</v>
      </c>
      <c r="F225" s="4" t="s">
        <v>458</v>
      </c>
      <c r="H225" s="4" t="s">
        <v>373</v>
      </c>
      <c r="I225" s="4" t="s">
        <v>462</v>
      </c>
    </row>
    <row r="226" spans="1:9" ht="30" x14ac:dyDescent="0.25">
      <c r="A226" s="4">
        <v>214</v>
      </c>
      <c r="F226" s="4" t="s">
        <v>459</v>
      </c>
      <c r="H226" s="4" t="s">
        <v>373</v>
      </c>
      <c r="I226" s="4" t="s">
        <v>464</v>
      </c>
    </row>
    <row r="227" spans="1:9" x14ac:dyDescent="0.25">
      <c r="A227" s="4">
        <v>215</v>
      </c>
      <c r="F227" s="4" t="s">
        <v>463</v>
      </c>
    </row>
    <row r="228" spans="1:9" x14ac:dyDescent="0.25">
      <c r="A228" s="4">
        <v>216</v>
      </c>
      <c r="F228" s="4" t="s">
        <v>465</v>
      </c>
    </row>
    <row r="229" spans="1:9" x14ac:dyDescent="0.25">
      <c r="A229" s="4">
        <v>217</v>
      </c>
      <c r="F229" s="4" t="s">
        <v>466</v>
      </c>
      <c r="I229" s="4" t="s">
        <v>467</v>
      </c>
    </row>
    <row r="230" spans="1:9" x14ac:dyDescent="0.25">
      <c r="A230" s="4">
        <v>218</v>
      </c>
      <c r="H230" s="4" t="s">
        <v>348</v>
      </c>
    </row>
    <row r="231" spans="1:9" ht="30" x14ac:dyDescent="0.25">
      <c r="A231" s="4">
        <v>219</v>
      </c>
      <c r="H231" s="4" t="s">
        <v>380</v>
      </c>
      <c r="I231" s="4" t="s">
        <v>469</v>
      </c>
    </row>
    <row r="232" spans="1:9" x14ac:dyDescent="0.25">
      <c r="A232" s="4">
        <v>220</v>
      </c>
      <c r="F232" s="4" t="s">
        <v>468</v>
      </c>
      <c r="H232" s="4" t="s">
        <v>373</v>
      </c>
    </row>
    <row r="233" spans="1:9" x14ac:dyDescent="0.25">
      <c r="A233" s="4">
        <v>221</v>
      </c>
      <c r="D233" s="4" t="s">
        <v>470</v>
      </c>
      <c r="H233" s="4" t="s">
        <v>375</v>
      </c>
      <c r="I233" s="19" t="s">
        <v>476</v>
      </c>
    </row>
    <row r="234" spans="1:9" x14ac:dyDescent="0.25">
      <c r="A234" s="4">
        <v>222</v>
      </c>
      <c r="D234" s="4" t="s">
        <v>187</v>
      </c>
      <c r="H234" s="4" t="s">
        <v>471</v>
      </c>
      <c r="I234" s="4" t="s">
        <v>472</v>
      </c>
    </row>
    <row r="235" spans="1:9" x14ac:dyDescent="0.25">
      <c r="A235" s="4">
        <v>223</v>
      </c>
      <c r="H235" s="4" t="s">
        <v>473</v>
      </c>
      <c r="I235" s="4" t="s">
        <v>286</v>
      </c>
    </row>
    <row r="236" spans="1:9" x14ac:dyDescent="0.25">
      <c r="A236" s="4">
        <v>224</v>
      </c>
      <c r="D236" s="4" t="s">
        <v>191</v>
      </c>
      <c r="I236" s="19" t="s">
        <v>474</v>
      </c>
    </row>
    <row r="237" spans="1:9" ht="60" x14ac:dyDescent="0.25">
      <c r="A237" s="4">
        <v>225</v>
      </c>
      <c r="B237" s="9">
        <v>7.15</v>
      </c>
      <c r="C237" s="4" t="s">
        <v>481</v>
      </c>
      <c r="D237" s="4" t="s">
        <v>478</v>
      </c>
      <c r="F237" s="4" t="s">
        <v>468</v>
      </c>
      <c r="H237" s="4" t="s">
        <v>375</v>
      </c>
      <c r="I237" s="4" t="s">
        <v>477</v>
      </c>
    </row>
    <row r="238" spans="1:9" ht="30" x14ac:dyDescent="0.25">
      <c r="A238" s="4">
        <v>226</v>
      </c>
      <c r="F238" s="4" t="s">
        <v>415</v>
      </c>
      <c r="I238" s="4" t="s">
        <v>480</v>
      </c>
    </row>
    <row r="239" spans="1:9" x14ac:dyDescent="0.25">
      <c r="A239" s="4">
        <v>227</v>
      </c>
      <c r="D239" s="4" t="s">
        <v>479</v>
      </c>
    </row>
    <row r="240" spans="1:9" x14ac:dyDescent="0.25">
      <c r="A240" s="4">
        <v>228</v>
      </c>
      <c r="D240" s="4" t="s">
        <v>482</v>
      </c>
    </row>
    <row r="241" spans="1:9" ht="30" x14ac:dyDescent="0.25">
      <c r="A241" s="4">
        <v>229</v>
      </c>
      <c r="F241" s="4" t="s">
        <v>483</v>
      </c>
    </row>
    <row r="242" spans="1:9" x14ac:dyDescent="0.25">
      <c r="A242" s="4">
        <v>230</v>
      </c>
      <c r="D242" s="4" t="s">
        <v>484</v>
      </c>
    </row>
    <row r="243" spans="1:9" x14ac:dyDescent="0.25">
      <c r="A243" s="4">
        <v>231</v>
      </c>
      <c r="F243" s="4" t="s">
        <v>485</v>
      </c>
    </row>
    <row r="244" spans="1:9" ht="60" x14ac:dyDescent="0.25">
      <c r="A244" s="4">
        <v>232</v>
      </c>
      <c r="B244" s="9">
        <v>7.16</v>
      </c>
      <c r="C244" s="4" t="s">
        <v>486</v>
      </c>
      <c r="D244" s="4" t="s">
        <v>487</v>
      </c>
      <c r="F244" s="4" t="s">
        <v>489</v>
      </c>
      <c r="H244" s="4" t="s">
        <v>373</v>
      </c>
      <c r="I244" s="4" t="s">
        <v>488</v>
      </c>
    </row>
    <row r="245" spans="1:9" ht="30" x14ac:dyDescent="0.25">
      <c r="A245" s="4">
        <v>233</v>
      </c>
      <c r="F245" s="4" t="s">
        <v>490</v>
      </c>
      <c r="I245" s="4" t="s">
        <v>491</v>
      </c>
    </row>
    <row r="246" spans="1:9" x14ac:dyDescent="0.25">
      <c r="A246" s="4">
        <v>234</v>
      </c>
      <c r="D246" s="4" t="s">
        <v>493</v>
      </c>
      <c r="F246" s="4" t="s">
        <v>492</v>
      </c>
      <c r="I246" s="4" t="s">
        <v>494</v>
      </c>
    </row>
    <row r="247" spans="1:9" ht="30" x14ac:dyDescent="0.25">
      <c r="A247" s="4">
        <v>235</v>
      </c>
      <c r="D247" s="13" t="s">
        <v>547</v>
      </c>
      <c r="F247" s="4" t="s">
        <v>495</v>
      </c>
      <c r="H247" s="4" t="s">
        <v>375</v>
      </c>
    </row>
    <row r="248" spans="1:9" x14ac:dyDescent="0.25">
      <c r="A248" s="4">
        <v>236</v>
      </c>
      <c r="H248" s="4" t="s">
        <v>347</v>
      </c>
      <c r="I248" s="4" t="s">
        <v>496</v>
      </c>
    </row>
    <row r="249" spans="1:9" x14ac:dyDescent="0.25">
      <c r="A249" s="4">
        <v>237</v>
      </c>
      <c r="H249" s="4" t="s">
        <v>373</v>
      </c>
    </row>
    <row r="250" spans="1:9" x14ac:dyDescent="0.25">
      <c r="A250" s="4">
        <v>238</v>
      </c>
      <c r="F250" s="4" t="s">
        <v>497</v>
      </c>
      <c r="I250" s="4" t="s">
        <v>498</v>
      </c>
    </row>
    <row r="251" spans="1:9" ht="30" x14ac:dyDescent="0.25">
      <c r="A251" s="4">
        <v>239</v>
      </c>
      <c r="F251" s="4" t="s">
        <v>499</v>
      </c>
      <c r="I251" s="4" t="s">
        <v>500</v>
      </c>
    </row>
    <row r="252" spans="1:9" ht="30" x14ac:dyDescent="0.25">
      <c r="A252" s="4">
        <v>240</v>
      </c>
      <c r="G252" s="4" t="s">
        <v>503</v>
      </c>
      <c r="I252" s="4" t="s">
        <v>502</v>
      </c>
    </row>
    <row r="253" spans="1:9" ht="30" x14ac:dyDescent="0.25">
      <c r="A253" s="4">
        <v>241</v>
      </c>
      <c r="F253" s="4" t="s">
        <v>501</v>
      </c>
      <c r="G253" s="4" t="s">
        <v>504</v>
      </c>
    </row>
    <row r="254" spans="1:9" ht="30" x14ac:dyDescent="0.25">
      <c r="A254" s="4">
        <v>242</v>
      </c>
      <c r="F254" s="4" t="s">
        <v>505</v>
      </c>
    </row>
    <row r="255" spans="1:9" x14ac:dyDescent="0.25">
      <c r="F255" s="4" t="s">
        <v>506</v>
      </c>
    </row>
    <row r="256" spans="1:9" x14ac:dyDescent="0.25">
      <c r="A256" s="4">
        <v>244</v>
      </c>
      <c r="G256" s="4" t="s">
        <v>507</v>
      </c>
      <c r="I256" s="4" t="s">
        <v>508</v>
      </c>
    </row>
    <row r="257" spans="1:9" ht="30" x14ac:dyDescent="0.25">
      <c r="A257" s="4">
        <v>245</v>
      </c>
      <c r="F257" s="4" t="s">
        <v>509</v>
      </c>
      <c r="I257" s="4" t="s">
        <v>510</v>
      </c>
    </row>
    <row r="258" spans="1:9" ht="45" x14ac:dyDescent="0.25">
      <c r="A258" s="4">
        <v>246</v>
      </c>
      <c r="F258" s="4" t="s">
        <v>512</v>
      </c>
      <c r="G258" s="4" t="s">
        <v>511</v>
      </c>
    </row>
    <row r="259" spans="1:9" ht="30" x14ac:dyDescent="0.25">
      <c r="A259" s="4">
        <v>247</v>
      </c>
      <c r="F259" s="4" t="s">
        <v>513</v>
      </c>
      <c r="I259" s="4" t="s">
        <v>516</v>
      </c>
    </row>
    <row r="260" spans="1:9" x14ac:dyDescent="0.25">
      <c r="A260" s="4">
        <v>248</v>
      </c>
      <c r="G260" s="5" t="s">
        <v>514</v>
      </c>
      <c r="I260" s="4" t="s">
        <v>515</v>
      </c>
    </row>
    <row r="261" spans="1:9" ht="30" x14ac:dyDescent="0.25">
      <c r="A261" s="4">
        <v>249</v>
      </c>
      <c r="G261" s="4" t="s">
        <v>517</v>
      </c>
      <c r="H261" s="4" t="s">
        <v>518</v>
      </c>
      <c r="I261" s="4" t="s">
        <v>520</v>
      </c>
    </row>
    <row r="262" spans="1:9" ht="30" x14ac:dyDescent="0.25">
      <c r="A262" s="4">
        <v>250</v>
      </c>
      <c r="F262" s="4" t="s">
        <v>521</v>
      </c>
      <c r="I262" s="4" t="s">
        <v>522</v>
      </c>
    </row>
    <row r="263" spans="1:9" x14ac:dyDescent="0.25">
      <c r="A263" s="4">
        <v>251</v>
      </c>
      <c r="F263" s="4" t="s">
        <v>523</v>
      </c>
      <c r="I263" s="4" t="s">
        <v>525</v>
      </c>
    </row>
    <row r="264" spans="1:9" ht="30" x14ac:dyDescent="0.25">
      <c r="A264" s="4">
        <v>252</v>
      </c>
      <c r="F264" s="4" t="s">
        <v>526</v>
      </c>
      <c r="G264" s="4" t="s">
        <v>527</v>
      </c>
      <c r="H264" s="13" t="s">
        <v>519</v>
      </c>
      <c r="I264" s="4" t="s">
        <v>529</v>
      </c>
    </row>
    <row r="265" spans="1:9" ht="30" x14ac:dyDescent="0.25">
      <c r="A265" s="4">
        <v>253</v>
      </c>
      <c r="F265" s="4" t="s">
        <v>531</v>
      </c>
      <c r="G265" s="4" t="s">
        <v>532</v>
      </c>
      <c r="H265" s="4" t="s">
        <v>530</v>
      </c>
      <c r="I265" s="4" t="s">
        <v>533</v>
      </c>
    </row>
    <row r="266" spans="1:9" x14ac:dyDescent="0.25">
      <c r="A266" s="4">
        <v>254</v>
      </c>
      <c r="F266" s="4" t="s">
        <v>535</v>
      </c>
      <c r="H266" s="4" t="s">
        <v>534</v>
      </c>
    </row>
    <row r="267" spans="1:9" x14ac:dyDescent="0.25">
      <c r="A267" s="4">
        <v>255</v>
      </c>
      <c r="F267" s="4" t="s">
        <v>536</v>
      </c>
      <c r="H267" s="4" t="s">
        <v>373</v>
      </c>
      <c r="I267" s="4" t="s">
        <v>524</v>
      </c>
    </row>
    <row r="269" spans="1:9" ht="30" x14ac:dyDescent="0.25">
      <c r="A269" s="4">
        <v>257</v>
      </c>
      <c r="F269" s="4" t="s">
        <v>537</v>
      </c>
    </row>
    <row r="270" spans="1:9" ht="30" x14ac:dyDescent="0.25">
      <c r="I270" s="4" t="s">
        <v>540</v>
      </c>
    </row>
    <row r="271" spans="1:9" ht="30" x14ac:dyDescent="0.25">
      <c r="H271" s="13" t="s">
        <v>545</v>
      </c>
      <c r="I271" s="4" t="s">
        <v>541</v>
      </c>
    </row>
    <row r="272" spans="1:9" ht="30" x14ac:dyDescent="0.25">
      <c r="A272" s="4">
        <v>258</v>
      </c>
      <c r="F272" s="4" t="s">
        <v>544</v>
      </c>
      <c r="G272" s="4" t="s">
        <v>543</v>
      </c>
      <c r="H272" s="4" t="s">
        <v>542</v>
      </c>
    </row>
    <row r="273" spans="1:9" ht="30" x14ac:dyDescent="0.25">
      <c r="I273" s="4" t="s">
        <v>546</v>
      </c>
    </row>
    <row r="274" spans="1:9" x14ac:dyDescent="0.25">
      <c r="A274" s="4">
        <v>259</v>
      </c>
      <c r="D274" s="4" t="s">
        <v>549</v>
      </c>
      <c r="I274" s="4" t="s">
        <v>552</v>
      </c>
    </row>
    <row r="275" spans="1:9" x14ac:dyDescent="0.25">
      <c r="A275" s="4">
        <v>260</v>
      </c>
      <c r="D275" s="4" t="s">
        <v>550</v>
      </c>
      <c r="I275" s="4" t="s">
        <v>551</v>
      </c>
    </row>
    <row r="276" spans="1:9" x14ac:dyDescent="0.25">
      <c r="A276" s="4">
        <v>261</v>
      </c>
      <c r="D276" s="4" t="s">
        <v>548</v>
      </c>
      <c r="H276" s="4" t="s">
        <v>347</v>
      </c>
      <c r="I276" s="4" t="s">
        <v>552</v>
      </c>
    </row>
    <row r="277" spans="1:9" x14ac:dyDescent="0.25">
      <c r="A277" s="4">
        <v>262</v>
      </c>
      <c r="D277" s="4" t="s">
        <v>550</v>
      </c>
    </row>
    <row r="278" spans="1:9" x14ac:dyDescent="0.25">
      <c r="A278" s="4">
        <v>263</v>
      </c>
      <c r="D278" s="4" t="s">
        <v>553</v>
      </c>
    </row>
    <row r="279" spans="1:9" x14ac:dyDescent="0.25">
      <c r="D279" s="4" t="s">
        <v>554</v>
      </c>
    </row>
    <row r="280" spans="1:9" ht="30" x14ac:dyDescent="0.25">
      <c r="A280" s="4">
        <v>264</v>
      </c>
      <c r="D280" s="4" t="s">
        <v>548</v>
      </c>
      <c r="E280" s="12" t="s">
        <v>556</v>
      </c>
      <c r="I280" s="4" t="s">
        <v>555</v>
      </c>
    </row>
    <row r="281" spans="1:9" ht="30" x14ac:dyDescent="0.25">
      <c r="A281" s="4">
        <v>265</v>
      </c>
      <c r="D281" s="4" t="s">
        <v>484</v>
      </c>
      <c r="F281" s="4" t="s">
        <v>558</v>
      </c>
      <c r="I281" s="4" t="s">
        <v>557</v>
      </c>
    </row>
    <row r="282" spans="1:9" ht="45" x14ac:dyDescent="0.25">
      <c r="A282" s="4">
        <v>266</v>
      </c>
      <c r="H282" s="4" t="s">
        <v>559</v>
      </c>
      <c r="I282" s="4" t="s">
        <v>560</v>
      </c>
    </row>
    <row r="283" spans="1:9" ht="30" x14ac:dyDescent="0.25">
      <c r="A283" s="4">
        <v>267</v>
      </c>
      <c r="H283" s="12" t="s">
        <v>563</v>
      </c>
      <c r="I283" s="4" t="s">
        <v>561</v>
      </c>
    </row>
    <row r="284" spans="1:9" x14ac:dyDescent="0.25">
      <c r="A284" s="4">
        <v>268</v>
      </c>
      <c r="D284" s="4" t="s">
        <v>562</v>
      </c>
      <c r="I284" s="4" t="s">
        <v>564</v>
      </c>
    </row>
    <row r="285" spans="1:9" x14ac:dyDescent="0.25">
      <c r="A285" s="4">
        <v>269</v>
      </c>
      <c r="D285" s="4" t="s">
        <v>548</v>
      </c>
      <c r="I285" s="4" t="s">
        <v>565</v>
      </c>
    </row>
    <row r="286" spans="1:9" x14ac:dyDescent="0.25">
      <c r="A286" s="4">
        <v>270</v>
      </c>
      <c r="F286" s="4" t="s">
        <v>566</v>
      </c>
      <c r="I286" s="4" t="s">
        <v>567</v>
      </c>
    </row>
    <row r="287" spans="1:9" x14ac:dyDescent="0.25">
      <c r="D287" s="4" t="s">
        <v>568</v>
      </c>
      <c r="I287" s="4" t="s">
        <v>569</v>
      </c>
    </row>
    <row r="288" spans="1:9" x14ac:dyDescent="0.25">
      <c r="A288" s="4">
        <v>271</v>
      </c>
      <c r="D288" s="4" t="s">
        <v>570</v>
      </c>
      <c r="I288" s="4" t="s">
        <v>571</v>
      </c>
    </row>
    <row r="289" spans="1:9" x14ac:dyDescent="0.25">
      <c r="A289" s="4">
        <v>272</v>
      </c>
      <c r="D289" s="4" t="s">
        <v>572</v>
      </c>
      <c r="I289" s="4" t="s">
        <v>573</v>
      </c>
    </row>
    <row r="290" spans="1:9" x14ac:dyDescent="0.25">
      <c r="A290" s="4">
        <v>273</v>
      </c>
      <c r="D290" s="4" t="s">
        <v>484</v>
      </c>
      <c r="E290" s="12" t="s">
        <v>574</v>
      </c>
    </row>
    <row r="291" spans="1:9" ht="30" x14ac:dyDescent="0.25">
      <c r="A291" s="4">
        <v>274</v>
      </c>
      <c r="D291" s="4" t="s">
        <v>575</v>
      </c>
    </row>
    <row r="292" spans="1:9" ht="30" x14ac:dyDescent="0.25">
      <c r="A292" s="4">
        <v>275</v>
      </c>
      <c r="F292" s="4" t="s">
        <v>576</v>
      </c>
      <c r="I292" s="4" t="s">
        <v>577</v>
      </c>
    </row>
    <row r="293" spans="1:9" x14ac:dyDescent="0.25">
      <c r="A293" s="4">
        <v>276</v>
      </c>
      <c r="F293" s="4" t="s">
        <v>578</v>
      </c>
    </row>
    <row r="294" spans="1:9" x14ac:dyDescent="0.25">
      <c r="A294" s="4">
        <v>277</v>
      </c>
      <c r="F294" s="4" t="s">
        <v>580</v>
      </c>
      <c r="H294" s="4" t="s">
        <v>579</v>
      </c>
      <c r="I294" s="4" t="s">
        <v>581</v>
      </c>
    </row>
    <row r="295" spans="1:9" x14ac:dyDescent="0.25">
      <c r="A295" s="4">
        <v>278</v>
      </c>
      <c r="F295" s="4" t="s">
        <v>582</v>
      </c>
      <c r="I295" s="4" t="s">
        <v>583</v>
      </c>
    </row>
    <row r="296" spans="1:9" x14ac:dyDescent="0.25">
      <c r="A296" s="4">
        <v>279</v>
      </c>
      <c r="F296" s="4" t="s">
        <v>585</v>
      </c>
      <c r="H296" s="4" t="s">
        <v>584</v>
      </c>
      <c r="I296" s="4" t="s">
        <v>586</v>
      </c>
    </row>
    <row r="297" spans="1:9" x14ac:dyDescent="0.25">
      <c r="A297" s="4">
        <v>280</v>
      </c>
      <c r="G297" s="4" t="s">
        <v>587</v>
      </c>
    </row>
    <row r="298" spans="1:9" ht="30" x14ac:dyDescent="0.25">
      <c r="A298" s="4">
        <v>281</v>
      </c>
      <c r="F298" s="4" t="s">
        <v>588</v>
      </c>
      <c r="I298" s="4" t="s">
        <v>589</v>
      </c>
    </row>
    <row r="299" spans="1:9" x14ac:dyDescent="0.25">
      <c r="A299" s="4">
        <v>282</v>
      </c>
      <c r="F299" s="4" t="s">
        <v>590</v>
      </c>
      <c r="I299" s="4" t="s">
        <v>591</v>
      </c>
    </row>
    <row r="300" spans="1:9" x14ac:dyDescent="0.25">
      <c r="A300" s="4">
        <v>283</v>
      </c>
      <c r="F300" s="4" t="s">
        <v>592</v>
      </c>
      <c r="I300" s="4" t="s">
        <v>593</v>
      </c>
    </row>
    <row r="301" spans="1:9" x14ac:dyDescent="0.25">
      <c r="A301" s="4">
        <v>284</v>
      </c>
      <c r="D301" s="4" t="s">
        <v>548</v>
      </c>
      <c r="F301" s="4" t="s">
        <v>594</v>
      </c>
      <c r="I301" s="4" t="s">
        <v>595</v>
      </c>
    </row>
    <row r="302" spans="1:9" ht="30" x14ac:dyDescent="0.25">
      <c r="A302" s="4">
        <v>285</v>
      </c>
      <c r="D302" s="4" t="s">
        <v>598</v>
      </c>
      <c r="H302" s="4" t="s">
        <v>596</v>
      </c>
      <c r="I302" s="4" t="s">
        <v>597</v>
      </c>
    </row>
    <row r="303" spans="1:9" ht="30" x14ac:dyDescent="0.25">
      <c r="A303" s="4">
        <v>286</v>
      </c>
      <c r="F303" s="4" t="s">
        <v>599</v>
      </c>
      <c r="I303" s="4" t="s">
        <v>600</v>
      </c>
    </row>
    <row r="304" spans="1:9" x14ac:dyDescent="0.25">
      <c r="A304" s="4">
        <v>287</v>
      </c>
      <c r="F304" s="4" t="s">
        <v>601</v>
      </c>
      <c r="H304" s="4" t="s">
        <v>584</v>
      </c>
    </row>
    <row r="305" spans="1:9" x14ac:dyDescent="0.25">
      <c r="A305" s="4">
        <v>288</v>
      </c>
      <c r="F305" s="4" t="s">
        <v>602</v>
      </c>
      <c r="I305" s="4" t="s">
        <v>603</v>
      </c>
    </row>
    <row r="306" spans="1:9" x14ac:dyDescent="0.25">
      <c r="A306" s="4">
        <v>289</v>
      </c>
      <c r="F306" s="4" t="s">
        <v>604</v>
      </c>
    </row>
    <row r="307" spans="1:9" x14ac:dyDescent="0.25">
      <c r="A307" s="4">
        <v>290</v>
      </c>
      <c r="D307" s="4" t="s">
        <v>606</v>
      </c>
      <c r="F307" s="4" t="s">
        <v>605</v>
      </c>
    </row>
    <row r="308" spans="1:9" ht="30" x14ac:dyDescent="0.25">
      <c r="A308" s="4">
        <v>291</v>
      </c>
      <c r="F308" s="4" t="s">
        <v>607</v>
      </c>
      <c r="H308" s="4" t="s">
        <v>608</v>
      </c>
      <c r="I308" s="4" t="s">
        <v>609</v>
      </c>
    </row>
    <row r="309" spans="1:9" x14ac:dyDescent="0.25">
      <c r="A309" s="4">
        <v>292</v>
      </c>
      <c r="F309" s="4" t="s">
        <v>610</v>
      </c>
      <c r="I309" s="4" t="s">
        <v>612</v>
      </c>
    </row>
    <row r="310" spans="1:9" x14ac:dyDescent="0.25">
      <c r="A310" s="4">
        <v>293</v>
      </c>
      <c r="F310" s="4" t="s">
        <v>611</v>
      </c>
    </row>
    <row r="311" spans="1:9" x14ac:dyDescent="0.25">
      <c r="A311" s="4">
        <v>294</v>
      </c>
      <c r="F311" s="4" t="s">
        <v>582</v>
      </c>
    </row>
    <row r="312" spans="1:9" ht="30" x14ac:dyDescent="0.25">
      <c r="A312" s="4">
        <v>295</v>
      </c>
      <c r="F312" s="4" t="s">
        <v>613</v>
      </c>
      <c r="I312" s="4" t="s">
        <v>614</v>
      </c>
    </row>
    <row r="313" spans="1:9" x14ac:dyDescent="0.25">
      <c r="A313" s="4">
        <v>296</v>
      </c>
      <c r="F313" s="4" t="s">
        <v>615</v>
      </c>
    </row>
    <row r="314" spans="1:9" x14ac:dyDescent="0.25">
      <c r="A314" s="4">
        <v>297</v>
      </c>
      <c r="F314" s="4" t="s">
        <v>616</v>
      </c>
      <c r="I314" s="4" t="s">
        <v>618</v>
      </c>
    </row>
    <row r="315" spans="1:9" ht="30" x14ac:dyDescent="0.25">
      <c r="A315" s="4">
        <v>298</v>
      </c>
      <c r="F315" s="4" t="s">
        <v>619</v>
      </c>
      <c r="G315" s="4" t="s">
        <v>620</v>
      </c>
      <c r="I315" s="4" t="s">
        <v>621</v>
      </c>
    </row>
    <row r="316" spans="1:9" x14ac:dyDescent="0.25">
      <c r="A316" s="4">
        <v>299</v>
      </c>
      <c r="H316" s="4" t="s">
        <v>584</v>
      </c>
    </row>
    <row r="317" spans="1:9" ht="30" x14ac:dyDescent="0.25">
      <c r="A317" s="4">
        <v>300</v>
      </c>
      <c r="G317" s="4" t="s">
        <v>622</v>
      </c>
    </row>
    <row r="318" spans="1:9" ht="30" x14ac:dyDescent="0.25">
      <c r="A318" s="4">
        <v>301</v>
      </c>
      <c r="F318" s="4" t="s">
        <v>582</v>
      </c>
      <c r="G318" s="4" t="s">
        <v>623</v>
      </c>
    </row>
    <row r="319" spans="1:9" x14ac:dyDescent="0.25">
      <c r="A319" s="4">
        <v>302</v>
      </c>
      <c r="F319" s="4" t="s">
        <v>624</v>
      </c>
    </row>
    <row r="320" spans="1:9" x14ac:dyDescent="0.25">
      <c r="A320" s="4">
        <v>303</v>
      </c>
      <c r="G320" s="4" t="s">
        <v>625</v>
      </c>
    </row>
    <row r="321" spans="1:9" x14ac:dyDescent="0.25">
      <c r="A321" s="4">
        <v>304</v>
      </c>
      <c r="H321" s="4" t="s">
        <v>542</v>
      </c>
    </row>
    <row r="322" spans="1:9" x14ac:dyDescent="0.25">
      <c r="A322" s="4">
        <v>305</v>
      </c>
      <c r="G322" s="4" t="s">
        <v>626</v>
      </c>
    </row>
    <row r="323" spans="1:9" x14ac:dyDescent="0.25">
      <c r="A323" s="4">
        <v>306</v>
      </c>
      <c r="F323" s="4" t="s">
        <v>582</v>
      </c>
    </row>
    <row r="324" spans="1:9" x14ac:dyDescent="0.25">
      <c r="A324" s="4">
        <v>307</v>
      </c>
      <c r="F324" s="4" t="s">
        <v>610</v>
      </c>
    </row>
    <row r="325" spans="1:9" x14ac:dyDescent="0.25">
      <c r="A325" s="4" t="s">
        <v>333</v>
      </c>
      <c r="F325" s="4" t="s">
        <v>627</v>
      </c>
    </row>
    <row r="326" spans="1:9" x14ac:dyDescent="0.25">
      <c r="A326" s="4">
        <v>308</v>
      </c>
      <c r="F326" s="4" t="s">
        <v>628</v>
      </c>
    </row>
    <row r="327" spans="1:9" x14ac:dyDescent="0.25">
      <c r="A327" s="4">
        <v>309</v>
      </c>
      <c r="H327" s="4" t="s">
        <v>608</v>
      </c>
      <c r="I327" s="4" t="s">
        <v>629</v>
      </c>
    </row>
    <row r="328" spans="1:9" x14ac:dyDescent="0.25">
      <c r="A328" s="4">
        <v>310</v>
      </c>
      <c r="H328" s="4" t="s">
        <v>596</v>
      </c>
      <c r="I328" s="4" t="s">
        <v>631</v>
      </c>
    </row>
    <row r="329" spans="1:9" x14ac:dyDescent="0.25">
      <c r="A329" s="4">
        <v>311</v>
      </c>
      <c r="G329" s="4" t="s">
        <v>630</v>
      </c>
      <c r="H329" s="4" t="s">
        <v>584</v>
      </c>
      <c r="I329" s="4" t="s">
        <v>632</v>
      </c>
    </row>
    <row r="330" spans="1:9" x14ac:dyDescent="0.25">
      <c r="A330" s="4">
        <v>312</v>
      </c>
      <c r="F330" s="4" t="s">
        <v>582</v>
      </c>
      <c r="I330" s="4" t="s">
        <v>633</v>
      </c>
    </row>
    <row r="331" spans="1:9" x14ac:dyDescent="0.25">
      <c r="A331" s="12">
        <v>313</v>
      </c>
      <c r="H331" s="4" t="s">
        <v>634</v>
      </c>
      <c r="I331" s="12" t="s">
        <v>635</v>
      </c>
    </row>
    <row r="332" spans="1:9" x14ac:dyDescent="0.25">
      <c r="A332" s="4">
        <v>314</v>
      </c>
      <c r="D332" s="4" t="s">
        <v>636</v>
      </c>
      <c r="I332" s="4" t="s">
        <v>637</v>
      </c>
    </row>
    <row r="333" spans="1:9" ht="30" x14ac:dyDescent="0.25">
      <c r="A333" s="4">
        <v>315</v>
      </c>
      <c r="D333" s="4" t="s">
        <v>646</v>
      </c>
      <c r="F333" s="4" t="s">
        <v>638</v>
      </c>
      <c r="H333" s="4" t="s">
        <v>584</v>
      </c>
      <c r="I333" s="4" t="s">
        <v>639</v>
      </c>
    </row>
    <row r="334" spans="1:9" x14ac:dyDescent="0.25">
      <c r="A334" s="4" t="s">
        <v>333</v>
      </c>
      <c r="F334" s="4" t="s">
        <v>640</v>
      </c>
      <c r="I334" s="4" t="s">
        <v>641</v>
      </c>
    </row>
    <row r="335" spans="1:9" x14ac:dyDescent="0.25">
      <c r="A335" s="4">
        <v>316</v>
      </c>
      <c r="F335" s="4" t="s">
        <v>642</v>
      </c>
    </row>
    <row r="336" spans="1:9" x14ac:dyDescent="0.25">
      <c r="A336" s="4" t="s">
        <v>644</v>
      </c>
      <c r="F336" s="4" t="s">
        <v>643</v>
      </c>
    </row>
    <row r="337" spans="1:9" ht="30" x14ac:dyDescent="0.25">
      <c r="A337" s="4">
        <v>318</v>
      </c>
      <c r="F337" s="4" t="s">
        <v>645</v>
      </c>
      <c r="I337" s="4" t="s">
        <v>647</v>
      </c>
    </row>
    <row r="338" spans="1:9" x14ac:dyDescent="0.25">
      <c r="A338" s="4">
        <v>319</v>
      </c>
      <c r="D338" s="4" t="s">
        <v>548</v>
      </c>
      <c r="I338" s="4" t="s">
        <v>648</v>
      </c>
    </row>
    <row r="339" spans="1:9" x14ac:dyDescent="0.25">
      <c r="A339" s="4">
        <v>320</v>
      </c>
      <c r="D339" s="4" t="s">
        <v>484</v>
      </c>
      <c r="G339" s="4" t="s">
        <v>649</v>
      </c>
    </row>
    <row r="340" spans="1:9" ht="30" x14ac:dyDescent="0.25">
      <c r="A340" s="4">
        <v>321</v>
      </c>
      <c r="G340" s="4" t="s">
        <v>650</v>
      </c>
      <c r="I340" s="4" t="s">
        <v>651</v>
      </c>
    </row>
    <row r="341" spans="1:9" ht="30" x14ac:dyDescent="0.25">
      <c r="A341" s="4">
        <v>322</v>
      </c>
      <c r="F341" s="4" t="s">
        <v>652</v>
      </c>
      <c r="I341" s="4" t="s">
        <v>653</v>
      </c>
    </row>
    <row r="342" spans="1:9" x14ac:dyDescent="0.25">
      <c r="F342" s="4" t="s">
        <v>654</v>
      </c>
      <c r="I342" s="4" t="s">
        <v>655</v>
      </c>
    </row>
    <row r="343" spans="1:9" x14ac:dyDescent="0.25">
      <c r="A343" s="4">
        <v>324</v>
      </c>
      <c r="F343" s="4" t="s">
        <v>656</v>
      </c>
      <c r="I343" s="4" t="s">
        <v>657</v>
      </c>
    </row>
    <row r="344" spans="1:9" x14ac:dyDescent="0.25">
      <c r="A344" s="4">
        <v>325</v>
      </c>
      <c r="F344" s="4" t="s">
        <v>659</v>
      </c>
    </row>
    <row r="345" spans="1:9" x14ac:dyDescent="0.25">
      <c r="A345" s="4">
        <v>326</v>
      </c>
      <c r="F345" s="4" t="s">
        <v>660</v>
      </c>
    </row>
    <row r="346" spans="1:9" x14ac:dyDescent="0.25">
      <c r="A346" s="4">
        <v>327</v>
      </c>
      <c r="F346" s="4" t="s">
        <v>661</v>
      </c>
    </row>
    <row r="347" spans="1:9" x14ac:dyDescent="0.25">
      <c r="A347" s="4">
        <v>328</v>
      </c>
      <c r="F347" s="4" t="s">
        <v>662</v>
      </c>
    </row>
    <row r="348" spans="1:9" x14ac:dyDescent="0.25">
      <c r="A348" s="4">
        <v>329</v>
      </c>
      <c r="F348" s="4" t="s">
        <v>666</v>
      </c>
      <c r="G348" s="4" t="s">
        <v>665</v>
      </c>
    </row>
    <row r="349" spans="1:9" x14ac:dyDescent="0.25">
      <c r="A349" s="4">
        <v>330</v>
      </c>
      <c r="F349" s="4" t="s">
        <v>664</v>
      </c>
    </row>
    <row r="350" spans="1:9" x14ac:dyDescent="0.25">
      <c r="A350" s="4">
        <v>331</v>
      </c>
      <c r="F350" s="4" t="s">
        <v>654</v>
      </c>
    </row>
    <row r="351" spans="1:9" x14ac:dyDescent="0.25">
      <c r="A351" s="4">
        <v>332</v>
      </c>
      <c r="F351" s="4" t="s">
        <v>668</v>
      </c>
    </row>
    <row r="352" spans="1:9" x14ac:dyDescent="0.25">
      <c r="A352" s="4">
        <v>333</v>
      </c>
      <c r="G352" s="4" t="s">
        <v>670</v>
      </c>
      <c r="I352" s="4" t="s">
        <v>673</v>
      </c>
    </row>
    <row r="353" spans="1:9" x14ac:dyDescent="0.25">
      <c r="A353" s="4">
        <v>334</v>
      </c>
      <c r="H353" s="4" t="s">
        <v>634</v>
      </c>
      <c r="I353" s="12" t="s">
        <v>676</v>
      </c>
    </row>
    <row r="354" spans="1:9" x14ac:dyDescent="0.25">
      <c r="A354" s="4">
        <v>335</v>
      </c>
      <c r="F354" s="4" t="s">
        <v>677</v>
      </c>
      <c r="I354" s="12"/>
    </row>
    <row r="355" spans="1:9" x14ac:dyDescent="0.25">
      <c r="A355" s="4">
        <v>336</v>
      </c>
      <c r="F355" s="4" t="s">
        <v>654</v>
      </c>
    </row>
    <row r="356" spans="1:9" x14ac:dyDescent="0.25">
      <c r="A356" s="4">
        <v>337</v>
      </c>
      <c r="H356" s="4" t="s">
        <v>596</v>
      </c>
    </row>
    <row r="357" spans="1:9" x14ac:dyDescent="0.25">
      <c r="A357" s="4">
        <v>338</v>
      </c>
      <c r="F357" s="4" t="s">
        <v>666</v>
      </c>
    </row>
    <row r="358" spans="1:9" x14ac:dyDescent="0.25">
      <c r="A358" s="4">
        <v>339</v>
      </c>
      <c r="D358" s="4" t="s">
        <v>687</v>
      </c>
      <c r="H358" s="4" t="s">
        <v>688</v>
      </c>
      <c r="I358" s="4" t="s">
        <v>691</v>
      </c>
    </row>
    <row r="360" spans="1:9" x14ac:dyDescent="0.25">
      <c r="A360" s="4">
        <v>340</v>
      </c>
      <c r="D360" s="4" t="s">
        <v>692</v>
      </c>
      <c r="H360" s="4" t="s">
        <v>634</v>
      </c>
      <c r="I360" s="12" t="s">
        <v>693</v>
      </c>
    </row>
    <row r="361" spans="1:9" x14ac:dyDescent="0.25">
      <c r="A361" s="4">
        <v>341</v>
      </c>
      <c r="B361" s="4" t="s">
        <v>698</v>
      </c>
      <c r="F361" s="4" t="s">
        <v>697</v>
      </c>
      <c r="H361" s="4" t="s">
        <v>634</v>
      </c>
      <c r="I361" s="12" t="s">
        <v>699</v>
      </c>
    </row>
    <row r="362" spans="1:9" x14ac:dyDescent="0.25">
      <c r="A362" s="4">
        <v>342</v>
      </c>
      <c r="I362" s="4" t="s">
        <v>702</v>
      </c>
    </row>
    <row r="363" spans="1:9" x14ac:dyDescent="0.25">
      <c r="A363" s="4">
        <v>343</v>
      </c>
      <c r="B363" s="9">
        <v>7.17</v>
      </c>
      <c r="F363" s="4" t="s">
        <v>700</v>
      </c>
      <c r="G363" s="4" t="s">
        <v>701</v>
      </c>
    </row>
    <row r="364" spans="1:9" ht="75" x14ac:dyDescent="0.25">
      <c r="A364" s="4">
        <v>344</v>
      </c>
      <c r="F364" s="4" t="s">
        <v>703</v>
      </c>
      <c r="G364" s="4" t="s">
        <v>705</v>
      </c>
      <c r="I364" s="21" t="s">
        <v>704</v>
      </c>
    </row>
    <row r="365" spans="1:9" x14ac:dyDescent="0.25">
      <c r="A365" s="4">
        <v>345</v>
      </c>
      <c r="D365" s="4" t="s">
        <v>709</v>
      </c>
      <c r="E365" s="4" t="s">
        <v>708</v>
      </c>
      <c r="H365" s="4" t="s">
        <v>706</v>
      </c>
    </row>
    <row r="366" spans="1:9" x14ac:dyDescent="0.25">
      <c r="A366" s="4">
        <v>346</v>
      </c>
      <c r="F366" s="4" t="s">
        <v>710</v>
      </c>
    </row>
    <row r="367" spans="1:9" x14ac:dyDescent="0.25">
      <c r="A367" s="4">
        <v>347</v>
      </c>
      <c r="G367" s="4" t="s">
        <v>711</v>
      </c>
    </row>
    <row r="368" spans="1:9" x14ac:dyDescent="0.25">
      <c r="A368" s="4">
        <v>348</v>
      </c>
      <c r="D368" s="4" t="s">
        <v>712</v>
      </c>
      <c r="H368" s="4" t="s">
        <v>713</v>
      </c>
    </row>
    <row r="372" spans="4:9" ht="30" x14ac:dyDescent="0.25">
      <c r="G372" s="4" t="s">
        <v>707</v>
      </c>
    </row>
    <row r="377" spans="4:9" x14ac:dyDescent="0.25">
      <c r="G377" s="4" t="s">
        <v>617</v>
      </c>
    </row>
    <row r="378" spans="4:9" ht="45" x14ac:dyDescent="0.25">
      <c r="D378" s="4" t="s">
        <v>539</v>
      </c>
    </row>
    <row r="379" spans="4:9" ht="30" x14ac:dyDescent="0.25">
      <c r="D379" s="4" t="s">
        <v>538</v>
      </c>
      <c r="H379" s="4" t="s">
        <v>373</v>
      </c>
    </row>
    <row r="380" spans="4:9" x14ac:dyDescent="0.25">
      <c r="H380" s="4" t="s">
        <v>528</v>
      </c>
    </row>
    <row r="382" spans="4:9" x14ac:dyDescent="0.25">
      <c r="D382" s="4" t="s">
        <v>337</v>
      </c>
    </row>
    <row r="384" spans="4:9" ht="30" x14ac:dyDescent="0.25">
      <c r="D384" s="4" t="s">
        <v>475</v>
      </c>
      <c r="I384" s="4" t="s">
        <v>461</v>
      </c>
    </row>
  </sheetData>
  <hyperlinks>
    <hyperlink ref="I364" r:id="rId1" xr:uid="{05E58BA6-BA12-423C-9688-7F1AF41588C6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4F1F-C950-4A27-AF75-D7439B97B581}">
  <dimension ref="A2:Q45"/>
  <sheetViews>
    <sheetView topLeftCell="A16" workbookViewId="0">
      <selection activeCell="W23" sqref="W23"/>
    </sheetView>
  </sheetViews>
  <sheetFormatPr defaultRowHeight="15" x14ac:dyDescent="0.25"/>
  <sheetData>
    <row r="2" spans="2:9" x14ac:dyDescent="0.25">
      <c r="B2">
        <v>1</v>
      </c>
      <c r="C2">
        <f t="shared" ref="C2:C9" si="0">B2^2</f>
        <v>1</v>
      </c>
      <c r="D2">
        <f t="shared" ref="D2:D9" si="1">1/C2</f>
        <v>1</v>
      </c>
      <c r="E2">
        <v>253.24</v>
      </c>
      <c r="F2">
        <f>E2/$E$9</f>
        <v>0.38654923450307577</v>
      </c>
    </row>
    <row r="3" spans="2:9" x14ac:dyDescent="0.25">
      <c r="B3">
        <v>1.57</v>
      </c>
      <c r="C3">
        <f t="shared" si="0"/>
        <v>2.4649000000000001</v>
      </c>
      <c r="D3">
        <f t="shared" si="1"/>
        <v>0.4056959714390036</v>
      </c>
      <c r="E3">
        <v>411.95</v>
      </c>
    </row>
    <row r="4" spans="2:9" x14ac:dyDescent="0.25">
      <c r="B4">
        <v>1.62</v>
      </c>
      <c r="C4">
        <f t="shared" si="0"/>
        <v>2.6244000000000005</v>
      </c>
      <c r="D4">
        <f t="shared" si="1"/>
        <v>0.38103947568968138</v>
      </c>
      <c r="E4">
        <v>424.73</v>
      </c>
    </row>
    <row r="5" spans="2:9" x14ac:dyDescent="0.25">
      <c r="B5">
        <v>1.6559999999999999</v>
      </c>
      <c r="C5">
        <f t="shared" si="0"/>
        <v>2.7423359999999999</v>
      </c>
      <c r="D5">
        <f t="shared" si="1"/>
        <v>0.36465261733062615</v>
      </c>
      <c r="E5">
        <v>433.62</v>
      </c>
    </row>
    <row r="6" spans="2:9" x14ac:dyDescent="0.25">
      <c r="B6" s="10">
        <v>1.7969999999999999</v>
      </c>
      <c r="C6">
        <f t="shared" si="0"/>
        <v>3.2292089999999996</v>
      </c>
      <c r="D6">
        <f t="shared" si="1"/>
        <v>0.30967335963698855</v>
      </c>
      <c r="E6">
        <v>465.24</v>
      </c>
    </row>
    <row r="7" spans="2:9" x14ac:dyDescent="0.25">
      <c r="B7">
        <v>1.84</v>
      </c>
      <c r="C7">
        <f t="shared" si="0"/>
        <v>3.3856000000000002</v>
      </c>
      <c r="D7">
        <f t="shared" si="1"/>
        <v>0.29536862003780717</v>
      </c>
      <c r="E7">
        <v>474.38</v>
      </c>
    </row>
    <row r="8" spans="2:9" x14ac:dyDescent="0.25">
      <c r="B8">
        <v>3</v>
      </c>
      <c r="C8">
        <f t="shared" si="0"/>
        <v>9</v>
      </c>
      <c r="D8">
        <f t="shared" si="1"/>
        <v>0.1111111111111111</v>
      </c>
      <c r="E8">
        <v>606.82000000000005</v>
      </c>
      <c r="F8">
        <f>E8/$E$9</f>
        <v>0.92625891044525521</v>
      </c>
      <c r="H8" cm="1">
        <f t="array" ref="H8:I8">LOGEST(E2:E7,D2:D7)</f>
        <v>0.42033082936693472</v>
      </c>
      <c r="I8">
        <v>599.08872447978786</v>
      </c>
    </row>
    <row r="9" spans="2:9" x14ac:dyDescent="0.25">
      <c r="B9">
        <v>5</v>
      </c>
      <c r="C9">
        <f t="shared" si="0"/>
        <v>25</v>
      </c>
      <c r="D9">
        <f t="shared" si="1"/>
        <v>0.04</v>
      </c>
      <c r="E9">
        <v>655.13</v>
      </c>
      <c r="F9">
        <f>E9/$E$9</f>
        <v>1</v>
      </c>
    </row>
    <row r="11" spans="2:9" x14ac:dyDescent="0.25">
      <c r="B11">
        <v>1.7820607373170305</v>
      </c>
      <c r="C11">
        <f>B11^2</f>
        <v>3.1757404714869186</v>
      </c>
      <c r="D11">
        <f>1/C11</f>
        <v>0.3148871921299628</v>
      </c>
      <c r="E11">
        <f>I8*H8^D11</f>
        <v>456.00000740102411</v>
      </c>
    </row>
    <row r="13" spans="2:9" x14ac:dyDescent="0.25">
      <c r="B13">
        <v>1.6557005420069286</v>
      </c>
      <c r="C13">
        <f>B13^2</f>
        <v>2.7413442848020373</v>
      </c>
      <c r="D13">
        <f>1/C13</f>
        <v>0.36478453492470164</v>
      </c>
      <c r="E13">
        <f>654.16*EXP(-0.989*D13)</f>
        <v>456.03979015218101</v>
      </c>
    </row>
    <row r="22" spans="1:5" x14ac:dyDescent="0.25">
      <c r="B22" t="s">
        <v>202</v>
      </c>
    </row>
    <row r="23" spans="1:5" x14ac:dyDescent="0.25">
      <c r="B23" t="s">
        <v>200</v>
      </c>
      <c r="C23" t="s">
        <v>201</v>
      </c>
      <c r="D23" t="s">
        <v>197</v>
      </c>
    </row>
    <row r="24" spans="1:5" x14ac:dyDescent="0.25">
      <c r="A24">
        <v>0</v>
      </c>
      <c r="B24">
        <v>944.52</v>
      </c>
      <c r="C24">
        <v>976.65</v>
      </c>
      <c r="D24">
        <f>LN(B24)</f>
        <v>6.8506768619423593</v>
      </c>
      <c r="E24">
        <f>LN(C24)</f>
        <v>6.8841283483509805</v>
      </c>
    </row>
    <row r="25" spans="1:5" x14ac:dyDescent="0.25">
      <c r="A25">
        <v>2</v>
      </c>
      <c r="B25">
        <v>937.69</v>
      </c>
      <c r="C25">
        <v>975.74</v>
      </c>
      <c r="D25">
        <f t="shared" ref="D25:D32" si="2">LN(B25)</f>
        <v>6.8434194039771183</v>
      </c>
      <c r="E25">
        <f t="shared" ref="E25:E32" si="3">LN(C25)</f>
        <v>6.883196157481434</v>
      </c>
    </row>
    <row r="26" spans="1:5" x14ac:dyDescent="0.25">
      <c r="A26">
        <v>4</v>
      </c>
      <c r="B26">
        <v>935.35</v>
      </c>
      <c r="C26">
        <v>976.6</v>
      </c>
      <c r="D26">
        <f t="shared" si="2"/>
        <v>6.8409207907949137</v>
      </c>
      <c r="E26">
        <f t="shared" si="3"/>
        <v>6.8840771516275598</v>
      </c>
    </row>
    <row r="27" spans="1:5" x14ac:dyDescent="0.25">
      <c r="A27">
        <v>8</v>
      </c>
      <c r="B27">
        <v>930.12</v>
      </c>
      <c r="C27">
        <v>971.42</v>
      </c>
      <c r="D27">
        <f t="shared" si="2"/>
        <v>6.8353136100814202</v>
      </c>
      <c r="E27">
        <f t="shared" si="3"/>
        <v>6.8787589185405453</v>
      </c>
    </row>
    <row r="28" spans="1:5" x14ac:dyDescent="0.25">
      <c r="A28">
        <v>16</v>
      </c>
      <c r="B28">
        <v>879.43</v>
      </c>
      <c r="C28">
        <v>932.35</v>
      </c>
      <c r="D28">
        <f t="shared" si="2"/>
        <v>6.7792739703335858</v>
      </c>
      <c r="E28">
        <f t="shared" si="3"/>
        <v>6.8377082806701024</v>
      </c>
    </row>
    <row r="29" spans="1:5" x14ac:dyDescent="0.25">
      <c r="A29">
        <v>32</v>
      </c>
      <c r="B29">
        <v>698.38</v>
      </c>
      <c r="C29">
        <v>690.54</v>
      </c>
      <c r="D29">
        <f t="shared" si="2"/>
        <v>6.5487633672310421</v>
      </c>
      <c r="E29">
        <f t="shared" si="3"/>
        <v>6.5374739002084548</v>
      </c>
    </row>
    <row r="30" spans="1:5" x14ac:dyDescent="0.25">
      <c r="A30">
        <v>56</v>
      </c>
      <c r="B30">
        <v>252.03</v>
      </c>
      <c r="C30">
        <v>247.76</v>
      </c>
      <c r="D30">
        <f t="shared" si="2"/>
        <v>5.5295481280448655</v>
      </c>
      <c r="E30">
        <f t="shared" si="3"/>
        <v>5.512460535664947</v>
      </c>
    </row>
    <row r="31" spans="1:5" x14ac:dyDescent="0.25">
      <c r="A31">
        <v>72</v>
      </c>
      <c r="B31">
        <v>110.16</v>
      </c>
      <c r="C31">
        <v>115.61</v>
      </c>
      <c r="D31">
        <f t="shared" si="2"/>
        <v>4.7019338544203997</v>
      </c>
      <c r="E31">
        <f t="shared" si="3"/>
        <v>4.7502224576872303</v>
      </c>
    </row>
    <row r="32" spans="1:5" x14ac:dyDescent="0.25">
      <c r="A32">
        <v>128</v>
      </c>
      <c r="B32">
        <v>4.5823</v>
      </c>
      <c r="C32">
        <v>4.1428000000000003</v>
      </c>
      <c r="D32">
        <f t="shared" si="2"/>
        <v>1.5222010554803194</v>
      </c>
      <c r="E32">
        <f t="shared" si="3"/>
        <v>1.4213718877325867</v>
      </c>
    </row>
    <row r="35" spans="1:17" x14ac:dyDescent="0.25">
      <c r="A35" t="s">
        <v>198</v>
      </c>
      <c r="B35" t="s">
        <v>199</v>
      </c>
    </row>
    <row r="36" spans="1:17" x14ac:dyDescent="0.25">
      <c r="A36">
        <v>0.9</v>
      </c>
      <c r="B36">
        <v>975</v>
      </c>
      <c r="D36" cm="1">
        <f t="array" ref="D36:E36">LOGEST(B36:B41,A36:A41)</f>
        <v>14.351712036112724</v>
      </c>
      <c r="E36">
        <v>89.295627373824047</v>
      </c>
    </row>
    <row r="37" spans="1:17" x14ac:dyDescent="0.25">
      <c r="A37">
        <v>0.7</v>
      </c>
      <c r="B37">
        <v>589.41999999999996</v>
      </c>
      <c r="Q37">
        <v>456</v>
      </c>
    </row>
    <row r="38" spans="1:17" x14ac:dyDescent="0.25">
      <c r="A38">
        <v>0.64700000000000002</v>
      </c>
      <c r="B38">
        <v>503</v>
      </c>
      <c r="Q38" t="s">
        <v>203</v>
      </c>
    </row>
    <row r="39" spans="1:17" x14ac:dyDescent="0.25">
      <c r="A39">
        <v>0.63</v>
      </c>
      <c r="B39">
        <v>477</v>
      </c>
      <c r="Q39" t="s">
        <v>204</v>
      </c>
    </row>
    <row r="40" spans="1:17" x14ac:dyDescent="0.25">
      <c r="A40">
        <v>0.62</v>
      </c>
      <c r="B40">
        <v>462</v>
      </c>
    </row>
    <row r="41" spans="1:17" x14ac:dyDescent="0.25">
      <c r="A41" s="11">
        <v>0.61499999999999999</v>
      </c>
      <c r="B41" s="11">
        <v>455</v>
      </c>
    </row>
    <row r="42" spans="1:17" x14ac:dyDescent="0.25">
      <c r="A42">
        <v>0.42</v>
      </c>
      <c r="B42">
        <v>212.19</v>
      </c>
    </row>
    <row r="45" spans="1:17" x14ac:dyDescent="0.25">
      <c r="A45">
        <v>0.63935225868978396</v>
      </c>
      <c r="B45">
        <f>59.298*EXP(3.1906*A45)</f>
        <v>456.00003907160499</v>
      </c>
    </row>
  </sheetData>
  <dataConsolidate link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0D</vt:lpstr>
      <vt:lpstr>3D</vt:lpstr>
      <vt:lpstr>Optical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Kakosimos</dc:creator>
  <cp:lastModifiedBy>Konstantinos Kakosimos</cp:lastModifiedBy>
  <dcterms:created xsi:type="dcterms:W3CDTF">2015-06-05T18:19:34Z</dcterms:created>
  <dcterms:modified xsi:type="dcterms:W3CDTF">2026-07-13T11:49:21Z</dcterms:modified>
</cp:coreProperties>
</file>